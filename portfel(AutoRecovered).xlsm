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ri\Downloads\"/>
    </mc:Choice>
  </mc:AlternateContent>
  <xr:revisionPtr revIDLastSave="0" documentId="13_ncr:1_{B8D96437-9829-4CDB-95EA-03C8DC302769}" xr6:coauthVersionLast="47" xr6:coauthVersionMax="47" xr10:uidLastSave="{00000000-0000-0000-0000-000000000000}"/>
  <bookViews>
    <workbookView xWindow="-108" yWindow="-108" windowWidth="23256" windowHeight="12456" activeTab="1" xr2:uid="{D4216D23-C7CC-4B94-8CEC-E1EB3DCA2F6C}"/>
  </bookViews>
  <sheets>
    <sheet name="Portfel" sheetId="1" r:id="rId1"/>
    <sheet name="Historia" sheetId="9" r:id="rId2"/>
    <sheet name="Table 8" sheetId="7" r:id="rId3"/>
    <sheet name="Table15" sheetId="8" r:id="rId4"/>
  </sheets>
  <definedNames>
    <definedName name="_xlnm._FilterDatabase" localSheetId="0" hidden="1">Portfel!$P$43:$P$43</definedName>
    <definedName name="ExternalData_2" localSheetId="0" hidden="1">Portfel!$K$51:$K$52</definedName>
    <definedName name="ExternalData_3" localSheetId="0" hidden="1">Portfel!$L$51:$L$52</definedName>
    <definedName name="ExternalData_4" localSheetId="0" hidden="1">Portfel!$M$51:$M$53</definedName>
    <definedName name="ExternalData_5" localSheetId="0" hidden="1">Portfel!$N$51:$N$52</definedName>
    <definedName name="ExternalData_6" localSheetId="0" hidden="1">Portfel!$J$51:$J$52</definedName>
    <definedName name="ExternalData_6" localSheetId="3" hidden="1">Table15!$A$1:$I$51</definedName>
    <definedName name="ExternalData_7" localSheetId="0" hidden="1">Portfel!$P$43:$P$44</definedName>
    <definedName name="ExternalData_8" localSheetId="0" hidden="1">Portfel!$Q$43:$Q$44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9" l="1" a="1"/>
  <c r="B3" i="9" s="1"/>
  <c r="B4" i="9" a="1"/>
  <c r="B4" i="9" s="1"/>
  <c r="B5" i="9" a="1"/>
  <c r="B5" i="9" s="1"/>
  <c r="B6" i="9" a="1"/>
  <c r="B6" i="9" s="1"/>
  <c r="B7" i="9" a="1"/>
  <c r="B7" i="9" s="1"/>
  <c r="B8" i="9" a="1"/>
  <c r="B8" i="9" s="1"/>
  <c r="B9" i="9" a="1"/>
  <c r="B9" i="9" s="1"/>
  <c r="B2" i="9" a="1"/>
  <c r="B2" i="9" s="1"/>
  <c r="C58" i="1"/>
  <c r="C59" i="1"/>
  <c r="C60" i="1"/>
  <c r="C61" i="1"/>
  <c r="C62" i="1"/>
  <c r="Q53" i="1" a="1"/>
  <c r="Q53" i="1" s="1"/>
  <c r="R53" i="1" s="1"/>
  <c r="Q54" i="1" a="1"/>
  <c r="Q54" i="1" s="1"/>
  <c r="R54" i="1" s="1"/>
  <c r="Q52" i="1"/>
  <c r="R52" i="1" s="1"/>
  <c r="Q51" i="1" a="1"/>
  <c r="Q51" i="1" s="1"/>
  <c r="R51" i="1" s="1"/>
  <c r="Q55" i="1" a="1"/>
  <c r="Q55" i="1" s="1"/>
  <c r="R55" i="1" s="1"/>
  <c r="B62" i="1"/>
  <c r="B61" i="1"/>
  <c r="B60" i="1"/>
  <c r="B59" i="1"/>
  <c r="D49" i="1"/>
  <c r="D60" i="1" l="1"/>
  <c r="D59" i="1"/>
  <c r="D62" i="1"/>
  <c r="D61" i="1"/>
  <c r="F46" i="1"/>
  <c r="D48" i="1"/>
  <c r="B58" i="1" s="1"/>
  <c r="D58" i="1" s="1"/>
  <c r="F3" i="1"/>
  <c r="F9" i="1"/>
  <c r="F29" i="1"/>
  <c r="F31" i="1"/>
  <c r="F33" i="1"/>
  <c r="F35" i="1"/>
  <c r="F37" i="1"/>
  <c r="F39" i="1"/>
  <c r="F41" i="1"/>
  <c r="F43" i="1"/>
  <c r="F45" i="1"/>
  <c r="F28" i="1"/>
  <c r="F5" i="1"/>
  <c r="F6" i="1"/>
  <c r="F7" i="1"/>
  <c r="F8" i="1"/>
  <c r="F4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30" i="1"/>
  <c r="F32" i="1"/>
  <c r="F34" i="1"/>
  <c r="F36" i="1"/>
  <c r="F38" i="1"/>
  <c r="F40" i="1"/>
  <c r="F42" i="1"/>
  <c r="F44" i="1"/>
  <c r="F2" i="1"/>
  <c r="G44" i="1" l="1"/>
  <c r="H44" i="1" s="1"/>
  <c r="E59" i="1"/>
  <c r="E58" i="1"/>
  <c r="E61" i="1"/>
  <c r="E62" i="1"/>
  <c r="G35" i="1"/>
  <c r="H35" i="1" s="1"/>
  <c r="E60" i="1"/>
  <c r="G10" i="1"/>
  <c r="H10" i="1" s="1"/>
  <c r="F47" i="1"/>
  <c r="G49" i="1"/>
  <c r="G48" i="1"/>
  <c r="G28" i="1"/>
  <c r="H28" i="1" s="1"/>
  <c r="G43" i="1"/>
  <c r="H43" i="1" s="1"/>
  <c r="G42" i="1"/>
  <c r="H42" i="1" s="1"/>
  <c r="G39" i="1"/>
  <c r="H39" i="1" s="1"/>
  <c r="G47" i="1"/>
  <c r="H47" i="1" s="1"/>
  <c r="G40" i="1"/>
  <c r="H40" i="1" s="1"/>
  <c r="G46" i="1"/>
  <c r="H46" i="1" s="1"/>
  <c r="G41" i="1"/>
  <c r="H41" i="1" s="1"/>
  <c r="G45" i="1"/>
  <c r="H45" i="1" s="1"/>
  <c r="G18" i="1"/>
  <c r="H18" i="1" s="1"/>
  <c r="G12" i="1"/>
  <c r="H12" i="1" s="1"/>
  <c r="G37" i="1"/>
  <c r="H37" i="1" s="1"/>
  <c r="G21" i="1"/>
  <c r="H21" i="1" s="1"/>
  <c r="G6" i="1"/>
  <c r="H6" i="1" s="1"/>
  <c r="G31" i="1"/>
  <c r="H31" i="1" s="1"/>
  <c r="G15" i="1"/>
  <c r="H15" i="1" s="1"/>
  <c r="G3" i="1"/>
  <c r="H3" i="1" s="1"/>
  <c r="G34" i="1"/>
  <c r="H34" i="1" s="1"/>
  <c r="G24" i="1"/>
  <c r="H24" i="1" s="1"/>
  <c r="G9" i="1"/>
  <c r="H9" i="1" s="1"/>
  <c r="G27" i="1"/>
  <c r="H27" i="1" s="1"/>
  <c r="G26" i="1"/>
  <c r="H26" i="1" s="1"/>
  <c r="G36" i="1"/>
  <c r="H36" i="1" s="1"/>
  <c r="G20" i="1"/>
  <c r="H20" i="1" s="1"/>
  <c r="G5" i="1"/>
  <c r="H5" i="1" s="1"/>
  <c r="G30" i="1"/>
  <c r="H30" i="1" s="1"/>
  <c r="G14" i="1"/>
  <c r="H14" i="1" s="1"/>
  <c r="G23" i="1"/>
  <c r="H23" i="1" s="1"/>
  <c r="G33" i="1"/>
  <c r="H33" i="1" s="1"/>
  <c r="G17" i="1"/>
  <c r="H17" i="1" s="1"/>
  <c r="G8" i="1"/>
  <c r="H8" i="1" s="1"/>
  <c r="G2" i="1"/>
  <c r="H2" i="1" s="1"/>
  <c r="G11" i="1"/>
  <c r="H11" i="1" s="1"/>
  <c r="G25" i="1"/>
  <c r="H25" i="1" s="1"/>
  <c r="G19" i="1"/>
  <c r="H19" i="1" s="1"/>
  <c r="G16" i="1"/>
  <c r="H16" i="1" s="1"/>
  <c r="G32" i="1"/>
  <c r="H32" i="1" s="1"/>
  <c r="G7" i="1"/>
  <c r="H7" i="1" s="1"/>
  <c r="G4" i="1"/>
  <c r="H4" i="1" s="1"/>
  <c r="G22" i="1"/>
  <c r="H22" i="1" s="1"/>
  <c r="G38" i="1"/>
  <c r="H38" i="1" s="1"/>
  <c r="G13" i="1"/>
  <c r="H13" i="1" s="1"/>
  <c r="G29" i="1"/>
  <c r="H29" i="1" s="1"/>
  <c r="F58" i="1" l="1"/>
  <c r="C66" i="1" s="1"/>
  <c r="F60" i="1"/>
  <c r="F61" i="1"/>
  <c r="F59" i="1"/>
  <c r="B66" i="1" s="1"/>
  <c r="F62" i="1"/>
  <c r="F48" i="1"/>
  <c r="H48" i="1"/>
  <c r="A66" i="1" l="1"/>
  <c r="F49" i="1"/>
  <c r="H49" i="1"/>
  <c r="H52" i="1" l="1"/>
  <c r="I45" i="1" s="1"/>
  <c r="I39" i="1" l="1"/>
  <c r="I38" i="1"/>
  <c r="I8" i="1"/>
  <c r="I28" i="1"/>
  <c r="I12" i="1"/>
  <c r="I22" i="1"/>
  <c r="I36" i="1"/>
  <c r="I46" i="1"/>
  <c r="I27" i="1"/>
  <c r="I21" i="1"/>
  <c r="I19" i="1"/>
  <c r="I14" i="1"/>
  <c r="I25" i="1"/>
  <c r="I17" i="1"/>
  <c r="I4" i="1"/>
  <c r="I6" i="1"/>
  <c r="I7" i="1"/>
  <c r="I32" i="1"/>
  <c r="I3" i="1"/>
  <c r="I47" i="1"/>
  <c r="I31" i="1"/>
  <c r="I30" i="1"/>
  <c r="I26" i="1"/>
  <c r="I16" i="1"/>
  <c r="I11" i="1"/>
  <c r="I13" i="1"/>
  <c r="I34" i="1"/>
  <c r="I41" i="1"/>
  <c r="I18" i="1"/>
  <c r="I49" i="1"/>
  <c r="I44" i="1"/>
  <c r="I15" i="1"/>
  <c r="I2" i="1"/>
  <c r="I10" i="1"/>
  <c r="I9" i="1"/>
  <c r="I48" i="1"/>
  <c r="I24" i="1"/>
  <c r="I20" i="1"/>
  <c r="I23" i="1"/>
  <c r="I33" i="1"/>
  <c r="I40" i="1"/>
  <c r="I37" i="1"/>
  <c r="I5" i="1"/>
  <c r="I35" i="1"/>
  <c r="I42" i="1"/>
  <c r="I29" i="1"/>
  <c r="I4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ED6AFF-BFA6-4C3A-A71D-A4CC234CC1D7}" keepAlive="1" interval="60" name="Query - NADAQ 100" description="Connection to the 'NADAQ 100' query in the workbook." type="5" refreshedVersion="8" background="1" refreshOnLoad="1" saveData="1">
    <dbPr connection="Provider=Microsoft.Mashup.OleDb.1;Data Source=$Workbook$;Location=&quot;NADAQ 100&quot;;Extended Properties=&quot;&quot;" command="SELECT * FROM [NADAQ 100]"/>
  </connection>
  <connection id="2" xr16:uid="{DA3AAC02-2340-404C-8C5B-B3002DC404AB}" keepAlive="1" name="Query - Table 5 (5)" description="Connection to the 'Table 5 (5)' query in the workbook." type="5" refreshedVersion="0" background="1">
    <dbPr connection="Provider=Microsoft.Mashup.OleDb.1;Data Source=$Workbook$;Location=&quot;Table 5 (5)&quot;;Extended Properties=&quot;&quot;" command="SELECT * FROM [Table 5 (5)]"/>
  </connection>
  <connection id="3" xr16:uid="{4A75A353-D41C-4BDB-BB50-E0CFD154A03D}" keepAlive="1" name="Query - Table 6" description="Connection to the 'Table 6' query in the workbook." type="5" refreshedVersion="8" background="1" saveData="1">
    <dbPr connection="Provider=Microsoft.Mashup.OleDb.1;Data Source=$Workbook$;Location=&quot;Table 6&quot;;Extended Properties=&quot;&quot;" command="SELECT * FROM [Table 6]"/>
  </connection>
  <connection id="4" xr16:uid="{F00AAE8F-A21D-4A30-921E-21CF42896526}" keepAlive="1" interval="60" name="Query - Table 6 (2)" description="Connection to the 'Table 6 (2)' query in the workbook." type="5" refreshedVersion="8" background="1" refreshOnLoad="1" saveData="1">
    <dbPr connection="Provider=Microsoft.Mashup.OleDb.1;Data Source=$Workbook$;Location=&quot;Table 6 (2)&quot;;Extended Properties=&quot;&quot;" command="SELECT * FROM [Table 6 (2)]"/>
  </connection>
  <connection id="5" xr16:uid="{3EED2B7D-C8AC-476C-9C82-89B34CD4A121}" keepAlive="1" name="Query - Table 6 (3)" description="Connection to the 'Table 6 (3)' query in the workbook." type="5" refreshedVersion="8" background="1" saveData="1">
    <dbPr connection="Provider=Microsoft.Mashup.OleDb.1;Data Source=$Workbook$;Location=&quot;Table 6 (3)&quot;;Extended Properties=&quot;&quot;" command="SELECT * FROM [Table 6 (3)]"/>
  </connection>
  <connection id="6" xr16:uid="{071BE39B-3489-42FE-A8E1-1E3E34125D2E}" keepAlive="1" interval="60" name="Query - Table 6 (4)" description="Connection to the 'Table 6 (4)' query in the workbook." type="5" refreshedVersion="8" background="1" refreshOnLoad="1" saveData="1">
    <dbPr connection="Provider=Microsoft.Mashup.OleDb.1;Data Source=$Workbook$;Location=&quot;Table 6 (4)&quot;;Extended Properties=&quot;&quot;" command="SELECT * FROM [Table 6 (4)]"/>
  </connection>
  <connection id="7" xr16:uid="{F4613975-98E1-42C7-A1CF-A84D00F24A04}" keepAlive="1" interval="60" name="Query - Table 7" description="Connection to the 'Table 7' query in the workbook." type="5" refreshedVersion="8" background="1" refreshOnLoad="1" saveData="1">
    <dbPr connection="Provider=Microsoft.Mashup.OleDb.1;Data Source=$Workbook$;Location=&quot;Table 7&quot;;Extended Properties=&quot;&quot;" command="SELECT * FROM [Table 7]"/>
  </connection>
  <connection id="8" xr16:uid="{D86F6F32-4998-46DB-B487-C830CF9CF1A5}" keepAlive="1" name="Query - Table 7 (2)" description="Connection to the 'Table 7 (2)' query in the workbook." type="5" refreshedVersion="0" background="1">
    <dbPr connection="Provider=Microsoft.Mashup.OleDb.1;Data Source=$Workbook$;Location=&quot;Table 7 (2)&quot;;Extended Properties=&quot;&quot;" command="SELECT * FROM [Table 7 (2)]"/>
  </connection>
  <connection id="9" xr16:uid="{8E509BD2-D6C1-4A72-90D3-FECFC5782A83}" keepAlive="1" name="Query - Table 7 (3)" description="Connection to the 'Table 7 (3)' query in the workbook." type="5" refreshedVersion="8" background="1" saveData="1">
    <dbPr connection="Provider=Microsoft.Mashup.OleDb.1;Data Source=$Workbook$;Location=&quot;Table 7 (3)&quot;;Extended Properties=&quot;&quot;" command="SELECT * FROM [Table 7 (3)]"/>
  </connection>
  <connection id="10" xr16:uid="{625481FD-A319-4CCB-92DB-CE4517CEC107}" keepAlive="1" name="Query - Table 7 (4)" description="Connection to the 'Table 7 (4)' query in the workbook." type="5" refreshedVersion="0" background="1">
    <dbPr connection="Provider=Microsoft.Mashup.OleDb.1;Data Source=$Workbook$;Location=&quot;Table 7 (4)&quot;;Extended Properties=&quot;&quot;" command="SELECT * FROM [Table 7 (4)]"/>
  </connection>
  <connection id="11" xr16:uid="{C299F055-3491-40E8-92B8-9914EFF6DC53}" keepAlive="1" name="Query - Table 7 (5)" description="Connection to the 'Table 7 (5)' query in the workbook." type="5" refreshedVersion="8" background="1" saveData="1">
    <dbPr connection="Provider=Microsoft.Mashup.OleDb.1;Data Source=$Workbook$;Location=&quot;Table 7 (5)&quot;;Extended Properties=&quot;&quot;" command="SELECT * FROM [Table 7 (5)]"/>
  </connection>
  <connection id="12" xr16:uid="{C5BCB923-9700-480F-B432-995709F2022B}" keepAlive="1" interval="60" name="Query - Table 8" description="Connection to the 'Table 8' query in the workbook." type="5" refreshedVersion="8" background="1" refreshOnLoad="1" saveData="1">
    <dbPr connection="Provider=Microsoft.Mashup.OleDb.1;Data Source=$Workbook$;Location=&quot;Table 8&quot;;Extended Properties=&quot;&quot;" command="SELECT * FROM [Table 8]"/>
  </connection>
  <connection id="13" xr16:uid="{2170D43B-1AAB-487E-9863-917D095EFC4C}" keepAlive="1" name="Query - Table15" description="Connection to the 'Table15' query in the workbook." type="5" refreshedVersion="8" background="1" saveData="1">
    <dbPr connection="Provider=Microsoft.Mashup.OleDb.1;Data Source=$Workbook$;Location=Table15;Extended Properties=&quot;&quot;" command="SELECT * FROM [Table1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<sst xmlns="http://schemas.openxmlformats.org/spreadsheetml/2006/main" count="261" uniqueCount="45">
  <si>
    <t>Nazwa Aktywa</t>
  </si>
  <si>
    <t>Data Zakupu</t>
  </si>
  <si>
    <t>Symbol Akcji</t>
  </si>
  <si>
    <t>Liczba Jednostek</t>
  </si>
  <si>
    <t>Cena Zakupu</t>
  </si>
  <si>
    <t>Wartość Transakcji</t>
  </si>
  <si>
    <t>Aktualna Cena Jednostkowa</t>
  </si>
  <si>
    <t>Łączna Wartość Rynkowa</t>
  </si>
  <si>
    <t>Waga w Portfelu</t>
  </si>
  <si>
    <t>Core S&amp;P 500</t>
  </si>
  <si>
    <t>NASDAQ 100</t>
  </si>
  <si>
    <t>MSCI World Information Index</t>
  </si>
  <si>
    <t>SXR8.DE</t>
  </si>
  <si>
    <t>SXRV.DE</t>
  </si>
  <si>
    <t>XDWT.DE</t>
  </si>
  <si>
    <t>GOLD.US</t>
  </si>
  <si>
    <t>Barrick Gold</t>
  </si>
  <si>
    <t>BINANCECOIN</t>
  </si>
  <si>
    <t>Column1</t>
  </si>
  <si>
    <t>Column2</t>
  </si>
  <si>
    <t>Dane do spolek</t>
  </si>
  <si>
    <t>Asset Name</t>
  </si>
  <si>
    <t>Total Units</t>
  </si>
  <si>
    <t>Avg. Purchase Price</t>
  </si>
  <si>
    <t>Total Value</t>
  </si>
  <si>
    <t>Profit/Loss</t>
  </si>
  <si>
    <t>Portfolio %</t>
  </si>
  <si>
    <t>cena (tekst)</t>
  </si>
  <si>
    <t xml:space="preserve">Nazwa </t>
  </si>
  <si>
    <t>Date</t>
  </si>
  <si>
    <t>Column3</t>
  </si>
  <si>
    <t>ETF</t>
  </si>
  <si>
    <t>Akcje</t>
  </si>
  <si>
    <t>Krypto</t>
  </si>
  <si>
    <t>1209,00 €</t>
  </si>
  <si>
    <t>94,08 €</t>
  </si>
  <si>
    <t>18,36 $</t>
  </si>
  <si>
    <t>18,38 $</t>
  </si>
  <si>
    <t>614,48 $</t>
  </si>
  <si>
    <t>4,1490</t>
  </si>
  <si>
    <t>Euro</t>
  </si>
  <si>
    <t>Dolar</t>
  </si>
  <si>
    <t>3,9721</t>
  </si>
  <si>
    <t>18,37 $</t>
  </si>
  <si>
    <t>656,4179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</si>
</sst>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zł&quot;_-;\-* #,##0.00\ &quot;zł&quot;_-;_-* &quot;-&quot;??\ &quot;zł&quot;_-;_-@_-"/>
    <numFmt numFmtId="43" formatCode="_-* #,##0.00_-;\-* #,##0.00_-;_-* &quot;-&quot;??_-;_-@_-"/>
    <numFmt numFmtId="164" formatCode="_-[$$-409]* #,##0.00_ ;_-[$$-409]* \-#,##0.00\ ;_-[$$-409]* &quot;-&quot;????_ ;_-@_ "/>
    <numFmt numFmtId="165" formatCode="_-[$$-409]* #,##0.0000_ ;_-[$$-409]* \-#,##0.0000\ ;_-[$$-409]* &quot;-&quot;????_ ;_-@_ "/>
  </numFmts>
  <fonts count="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8"/>
      <color rgb="FF000000"/>
      <name val="Tahoma"/>
      <family val="2"/>
      <charset val="238"/>
    </font>
    <font>
      <sz val="8"/>
      <name val="Calibri"/>
      <family val="2"/>
      <charset val="238"/>
      <scheme val="minor"/>
    </font>
    <font>
      <sz val="10"/>
      <color theme="1"/>
      <name val="Times New Roman"/>
      <family val="1"/>
      <charset val="238"/>
    </font>
    <font>
      <sz val="10"/>
      <color rgb="FF000000"/>
      <name val="Times New Roman"/>
      <family val="1"/>
      <charset val="238"/>
    </font>
    <font>
      <sz val="11"/>
      <color rgb="FF000000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3F4F4"/>
        <bgColor rgb="FFF3F4F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 wrapText="1"/>
    </xf>
    <xf numFmtId="0" fontId="3" fillId="2" borderId="1" xfId="0" applyFont="1" applyFill="1" applyBorder="1" applyAlignment="1">
      <alignment horizontal="left" vertical="top" wrapText="1" readingOrder="1"/>
    </xf>
    <xf numFmtId="164" fontId="2" fillId="0" borderId="0" xfId="0" applyNumberFormat="1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2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49" fontId="0" fillId="0" borderId="0" xfId="0" applyNumberFormat="1"/>
    <xf numFmtId="0" fontId="3" fillId="2" borderId="2" xfId="0" applyFont="1" applyFill="1" applyBorder="1" applyAlignment="1">
      <alignment horizontal="left" vertical="top" wrapText="1" readingOrder="1"/>
    </xf>
    <xf numFmtId="0" fontId="5" fillId="0" borderId="0" xfId="0" applyFont="1" applyAlignment="1">
      <alignment horizontal="center" vertical="center" wrapText="1"/>
    </xf>
    <xf numFmtId="2" fontId="5" fillId="0" borderId="0" xfId="0" applyNumberFormat="1" applyFont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 applyAlignment="1">
      <alignment horizontal="right" vertical="center" wrapText="1"/>
    </xf>
    <xf numFmtId="2" fontId="5" fillId="0" borderId="0" xfId="2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wrapText="1"/>
    </xf>
    <xf numFmtId="2" fontId="5" fillId="0" borderId="0" xfId="0" applyNumberFormat="1" applyFont="1" applyAlignment="1">
      <alignment wrapText="1"/>
    </xf>
    <xf numFmtId="2" fontId="5" fillId="0" borderId="0" xfId="2" applyNumberFormat="1" applyFont="1" applyAlignment="1">
      <alignment wrapText="1"/>
    </xf>
    <xf numFmtId="14" fontId="5" fillId="0" borderId="0" xfId="0" applyNumberFormat="1" applyFont="1" applyAlignment="1">
      <alignment wrapText="1"/>
    </xf>
    <xf numFmtId="0" fontId="6" fillId="2" borderId="1" xfId="0" applyFont="1" applyFill="1" applyBorder="1" applyAlignment="1">
      <alignment horizontal="right" vertical="top" wrapText="1" readingOrder="1"/>
    </xf>
    <xf numFmtId="2" fontId="5" fillId="0" borderId="0" xfId="1" applyNumberFormat="1" applyFont="1" applyAlignment="1">
      <alignment wrapText="1"/>
    </xf>
    <xf numFmtId="0" fontId="6" fillId="2" borderId="1" xfId="0" applyFont="1" applyFill="1" applyBorder="1" applyAlignment="1">
      <alignment horizontal="left" vertical="top" wrapText="1" readingOrder="1"/>
    </xf>
    <xf numFmtId="0" fontId="6" fillId="2" borderId="1" xfId="0" applyFont="1" applyFill="1" applyBorder="1" applyAlignment="1">
      <alignment horizontal="left" vertical="top" readingOrder="1"/>
    </xf>
    <xf numFmtId="2" fontId="6" fillId="2" borderId="1" xfId="0" applyNumberFormat="1" applyFont="1" applyFill="1" applyBorder="1" applyAlignment="1">
      <alignment horizontal="left" vertical="top" readingOrder="1"/>
    </xf>
    <xf numFmtId="2" fontId="6" fillId="3" borderId="1" xfId="0" applyNumberFormat="1" applyFont="1" applyFill="1" applyBorder="1" applyAlignment="1">
      <alignment horizontal="left" vertical="top" readingOrder="1"/>
    </xf>
    <xf numFmtId="22" fontId="0" fillId="0" borderId="0" xfId="0" applyNumberFormat="1"/>
    <xf numFmtId="2" fontId="6" fillId="2" borderId="1" xfId="2" applyNumberFormat="1" applyFont="1" applyFill="1" applyBorder="1" applyAlignment="1">
      <alignment horizontal="right" readingOrder="1"/>
    </xf>
    <xf numFmtId="2" fontId="6" fillId="3" borderId="1" xfId="2" applyNumberFormat="1" applyFont="1" applyFill="1" applyBorder="1" applyAlignment="1">
      <alignment horizontal="right" readingOrder="1"/>
    </xf>
    <xf numFmtId="9" fontId="0" fillId="0" borderId="0" xfId="0" applyNumberFormat="1"/>
    <xf numFmtId="0" fontId="0" fillId="4" borderId="3" xfId="0" applyFill="1" applyBorder="1"/>
    <xf numFmtId="0" fontId="5" fillId="0" borderId="3" xfId="0" applyFont="1" applyBorder="1" applyAlignment="1">
      <alignment wrapText="1"/>
    </xf>
    <xf numFmtId="0" fontId="5" fillId="4" borderId="3" xfId="0" applyFont="1" applyFill="1" applyBorder="1" applyAlignment="1">
      <alignment wrapText="1"/>
    </xf>
    <xf numFmtId="0" fontId="5" fillId="4" borderId="3" xfId="0" applyFont="1" applyFill="1" applyBorder="1" applyAlignment="1">
      <alignment horizontal="center" vertical="center" wrapText="1"/>
    </xf>
    <xf numFmtId="14" fontId="0" fillId="0" borderId="0" xfId="0" applyNumberFormat="1"/>
    <xf numFmtId="0" fontId="5" fillId="0" borderId="4" xfId="0" applyFont="1" applyBorder="1" applyAlignment="1">
      <alignment wrapText="1"/>
    </xf>
    <xf numFmtId="10" fontId="0" fillId="0" borderId="0" xfId="0" applyNumberFormat="1"/>
    <xf numFmtId="0" fontId="0" fillId="0" borderId="0" xfId="0" applyNumberFormat="1"/>
  </cellXfs>
  <cellStyles count="3">
    <cellStyle name="Comma" xfId="1" builtinId="3"/>
    <cellStyle name="Currency" xfId="2" builtinId="4"/>
    <cellStyle name="Normal" xfId="0" builtinId="0"/>
  </cellStyles>
  <dxfs count="38">
    <dxf>
      <numFmt numFmtId="30" formatCode="@"/>
    </dxf>
    <dxf>
      <numFmt numFmtId="2" formatCode="0.00"/>
    </dxf>
    <dxf>
      <numFmt numFmtId="2" formatCode="0.00"/>
    </dxf>
    <dxf>
      <numFmt numFmtId="19" formatCode="dd/mm/yyyy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2" formatCode="0.00"/>
      <alignment horizontal="center" vertical="center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4" formatCode="_-[$$-409]* #,##0.00_ ;_-[$$-409]* \-#,##0.00\ ;_-[$$-409]* &quot;-&quot;????_ ;_-@_ "/>
      <alignment horizontal="center" vertical="center" textRotation="0" wrapText="1" indent="0" justifyLastLine="0" shrinkToFit="0" readingOrder="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charset val="238"/>
        <scheme val="none"/>
      </font>
      <fill>
        <patternFill patternType="solid">
          <fgColor rgb="FFFFFFFF"/>
          <bgColor rgb="FFFFFFFF"/>
        </patternFill>
      </fill>
      <alignment horizontal="left" vertical="top" textRotation="0" wrapText="1" indent="0" justifyLastLine="0" shrinkToFit="0" readingOrder="1"/>
      <border diagonalUp="0" diagonalDown="0" outline="0">
        <left/>
        <right/>
        <top style="thin">
          <color rgb="FFD3D3D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charset val="238"/>
        <scheme val="none"/>
      </font>
      <fill>
        <patternFill patternType="solid">
          <fgColor rgb="FFFFFFFF"/>
          <bgColor rgb="FFFFFFFF"/>
        </patternFill>
      </fill>
      <alignment horizontal="left" vertical="top" textRotation="0" wrapText="1" indent="0" justifyLastLine="0" shrinkToFit="0" readingOrder="1"/>
      <border diagonalUp="0" diagonalDown="0" outline="0">
        <left/>
        <right/>
        <top style="thin">
          <color rgb="FFD3D3D3"/>
        </top>
        <bottom/>
      </border>
    </dxf>
    <dxf>
      <numFmt numFmtId="19" formatCode="dd/mm/yyyy"/>
      <alignment horizontal="general" vertical="bottom" textRotation="0" wrapText="1" indent="0" justifyLastLine="0" shrinkToFit="0" readingOrder="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7" formatCode="dd/mm/yyyy\ hh:mm"/>
    </dxf>
    <dxf>
      <numFmt numFmtId="0" formatCode="General"/>
    </dxf>
    <dxf>
      <numFmt numFmtId="0" formatCode="General"/>
    </dxf>
    <dxf>
      <numFmt numFmtId="13" formatCode="0%"/>
    </dxf>
    <dxf>
      <numFmt numFmtId="2" formatCode="0.00"/>
    </dxf>
    <dxf>
      <numFmt numFmtId="2" formatCode="0.0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2" formatCode="0.00"/>
      <alignment horizontal="center" vertical="center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4" formatCode="_-[$$-409]* #,##0.00_ ;_-[$$-409]* \-#,##0.00\ ;_-[$$-409]* &quot;-&quot;????_ ;_-@_ "/>
      <alignment horizontal="center" vertical="center" textRotation="0" wrapText="1" indent="0" justifyLastLine="0" shrinkToFit="0" readingOrder="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charset val="238"/>
        <scheme val="none"/>
      </font>
      <fill>
        <patternFill patternType="solid">
          <fgColor rgb="FFFFFFFF"/>
          <bgColor rgb="FFFFFFFF"/>
        </patternFill>
      </fill>
      <alignment horizontal="left" vertical="top" textRotation="0" wrapText="1" indent="0" justifyLastLine="0" shrinkToFit="0" readingOrder="1"/>
      <border diagonalUp="0" diagonalDown="0" outline="0">
        <left/>
        <right/>
        <top style="thin">
          <color rgb="FFD3D3D3"/>
        </top>
        <bottom style="thin">
          <color rgb="FFD3D3D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charset val="238"/>
        <scheme val="none"/>
      </font>
      <fill>
        <patternFill patternType="solid">
          <fgColor rgb="FFFFFFFF"/>
          <bgColor rgb="FFFFFFFF"/>
        </patternFill>
      </fill>
      <alignment horizontal="left" vertical="top" textRotation="0" wrapText="1" indent="0" justifyLastLine="0" shrinkToFit="0" readingOrder="1"/>
      <border diagonalUp="0" diagonalDown="0">
        <left/>
        <right/>
        <top style="thin">
          <color rgb="FFD3D3D3"/>
        </top>
        <bottom style="thin">
          <color rgb="FFD3D3D3"/>
        </bottom>
        <vertical/>
        <horizontal/>
      </border>
    </dxf>
    <dxf>
      <numFmt numFmtId="19" formatCode="dd/mm/yyyy"/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Portfel!$A$65:$C$65</c:f>
              <c:strCache>
                <c:ptCount val="3"/>
                <c:pt idx="0">
                  <c:v>ETF</c:v>
                </c:pt>
                <c:pt idx="1">
                  <c:v>Akcje</c:v>
                </c:pt>
                <c:pt idx="2">
                  <c:v>Krypto</c:v>
                </c:pt>
              </c:strCache>
            </c:strRef>
          </c:cat>
          <c:val>
            <c:numRef>
              <c:f>Portfel!$A$66:$C$66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7-4406-9487-0AC26CCC1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cap="all" baseline="0">
              <a:ln>
                <a:noFill/>
              </a:ln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Historia!$B$1</c:f>
              <c:strCache>
                <c:ptCount val="1"/>
                <c:pt idx="0">
                  <c:v>Total 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Historia!$A$2:$A$22</c:f>
              <c:numCache>
                <c:formatCode>m/d/yyyy</c:formatCode>
                <c:ptCount val="21"/>
                <c:pt idx="0">
                  <c:v>45702</c:v>
                </c:pt>
                <c:pt idx="1">
                  <c:v>45703</c:v>
                </c:pt>
                <c:pt idx="2">
                  <c:v>45705</c:v>
                </c:pt>
                <c:pt idx="3">
                  <c:v>45705</c:v>
                </c:pt>
                <c:pt idx="4">
                  <c:v>45705</c:v>
                </c:pt>
                <c:pt idx="5">
                  <c:v>45706</c:v>
                </c:pt>
                <c:pt idx="6">
                  <c:v>45706</c:v>
                </c:pt>
                <c:pt idx="7">
                  <c:v>45706</c:v>
                </c:pt>
                <c:pt idx="8">
                  <c:v>45706</c:v>
                </c:pt>
              </c:numCache>
            </c:numRef>
          </c:cat>
          <c:val>
            <c:numRef>
              <c:f>Historia!$B$2:$B$22</c:f>
              <c:numCache>
                <c:formatCode>0.00</c:formatCode>
                <c:ptCount val="21"/>
                <c:pt idx="0">
                  <c:v>31763.670656408904</c:v>
                </c:pt>
                <c:pt idx="1">
                  <c:v>31719.628011608904</c:v>
                </c:pt>
                <c:pt idx="2">
                  <c:v>31719.628011608904</c:v>
                </c:pt>
                <c:pt idx="3">
                  <c:v>31873.693854308905</c:v>
                </c:pt>
                <c:pt idx="4">
                  <c:v>31873.896113640902</c:v>
                </c:pt>
                <c:pt idx="5">
                  <c:v>31985.188758951997</c:v>
                </c:pt>
                <c:pt idx="6">
                  <c:v>28914.644240152</c:v>
                </c:pt>
                <c:pt idx="7">
                  <c:v>28914.644240152</c:v>
                </c:pt>
                <c:pt idx="8">
                  <c:v>28914.644240152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9-49A7-9A55-7EC7D7889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130527"/>
        <c:axId val="556135327"/>
      </c:lineChart>
      <c:dateAx>
        <c:axId val="55613052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56135327"/>
        <c:crosses val="autoZero"/>
        <c:auto val="1"/>
        <c:lblOffset val="100"/>
        <c:baseTimeUnit val="days"/>
      </c:dateAx>
      <c:valAx>
        <c:axId val="55613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56130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236220</xdr:colOff>
      <xdr:row>55</xdr:row>
      <xdr:rowOff>114300</xdr:rowOff>
    </xdr:from>
    <xdr:to>
      <xdr:col>8</xdr:col>
      <xdr:colOff>388620</xdr:colOff>
      <xdr:row>65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D5B3518-C30A-C2E3-277A-E923242F55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0</xdr:row>
          <xdr:rowOff>518160</xdr:rowOff>
        </xdr:from>
        <xdr:to>
          <xdr:col>13</xdr:col>
          <xdr:colOff>563880</xdr:colOff>
          <xdr:row>5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Portfolio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464820</xdr:colOff>
      <xdr:row>8</xdr:row>
      <xdr:rowOff>26670</xdr:rowOff>
    </xdr:from>
    <xdr:to>
      <xdr:col>16</xdr:col>
      <xdr:colOff>160020</xdr:colOff>
      <xdr:row>23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AAC04-6DE0-DAE5-3B23-56014AAE0E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1" xr16:uid="{2E5AD18C-6D12-4D27-B9A2-59AFDD934C4A}" autoFormatId="16" applyNumberFormats="0" applyBorderFormats="0" applyFontFormats="0" applyPatternFormats="0" applyAlignmentFormats="0" applyWidthHeightFormats="0">
  <queryTableRefresh nextId="2">
    <queryTableFields count="1">
      <queryTableField id="1" name="Column2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7" xr16:uid="{A815E7CC-139B-4667-ADCB-3CB4FDE67337}" autoFormatId="16" applyNumberFormats="0" applyBorderFormats="0" applyFontFormats="0" applyPatternFormats="0" applyAlignmentFormats="0" applyWidthHeightFormats="0">
  <queryTableRefresh nextId="3">
    <queryTableFields count="1">
      <queryTableField id="2" name="Column3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12" xr16:uid="{99382B3B-46E2-4A25-8465-E3F9E86A1FBA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4" xr16:uid="{77F84616-3D10-4F10-822D-0D6962D84593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freshOnLoad="1" connectionId="6" xr16:uid="{6602DF7F-1293-48BF-A9F0-E8C53C45EDE0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9" xr16:uid="{B91EEF93-A720-4FDF-8A68-EFEF09DC4299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1" xr16:uid="{2CD3A4E2-8926-4C76-853F-161ADD4E25B1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3" xr16:uid="{821C14C7-50A8-4B5A-B97B-05438D9B156F}" autoFormatId="16" applyNumberFormats="0" applyBorderFormats="0" applyFontFormats="0" applyPatternFormats="0" applyAlignmentFormats="0" applyWidthHeightFormats="0">
  <queryTableRefresh nextId="10">
    <queryTableFields count="9">
      <queryTableField id="1" name="Data Zakupu" tableColumnId="1"/>
      <queryTableField id="2" name="Nazwa Aktywa" tableColumnId="2"/>
      <queryTableField id="3" name="Symbol Akcji" tableColumnId="3"/>
      <queryTableField id="4" name="Liczba Jednostek" tableColumnId="4"/>
      <queryTableField id="5" name="Cena Zakupu" tableColumnId="5"/>
      <queryTableField id="6" name="Wartość Transakcji" tableColumnId="6"/>
      <queryTableField id="7" name="Aktualna Cena Jednostkowa" tableColumnId="7"/>
      <queryTableField id="8" name="Łączna Wartość Rynkowa" tableColumnId="8"/>
      <queryTableField id="9" name="Waga w Portfelu" tableColumnId="9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8</v>
    <v>1</v>
  </rv>
  <rv s="1">
    <v>0</v>
    <v>8</v>
    <v>1</v>
    <v>5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colOffset" t="i"/>
    <k n="errorType" t="i"/>
    <k n="rwOffset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9332C67-0320-414E-9834-7AF5F74A3D16}" name="NADAQ_100" displayName="NADAQ_100" ref="K51:K52" tableType="queryTable" totalsRowShown="0">
  <autoFilter ref="K51:K52" xr:uid="{49332C67-0320-414E-9834-7AF5F74A3D16}"/>
  <tableColumns count="1">
    <tableColumn id="1" xr3:uid="{9CFC2400-9313-4C12-9FC6-790A20A0222A}" uniqueName="1" name="Column2" queryTableField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206CE82-6CCB-4162-8880-6CB2916C50F8}" name="Table_7" displayName="Table_7" ref="L51:L52" tableType="queryTable" totalsRowShown="0">
  <autoFilter ref="L51:L52" xr:uid="{7206CE82-6CCB-4162-8880-6CB2916C50F8}"/>
  <tableColumns count="1">
    <tableColumn id="2" xr3:uid="{D26E64FD-1F3C-4D53-86C2-E00FFDAC51D0}" uniqueName="2" name="Column3" queryTableFieldId="2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A4B817-8919-4C71-A016-7789CEB94D08}" name="Table_8" displayName="Table_8" ref="M51:M53" tableType="queryTable" totalsRowShown="0">
  <autoFilter ref="M51:M53" xr:uid="{5FA4B817-8919-4C71-A016-7789CEB94D08}"/>
  <tableColumns count="1">
    <tableColumn id="1" xr3:uid="{B8685754-BF2B-499A-BE9E-09CA6BDCAD51}" uniqueName="1" name="Column1" queryTableFieldId="1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F1D5B1B-5862-486F-A827-791B5F688946}" name="Table_6__2" displayName="Table_6__2" ref="N51:N52" tableType="queryTable" totalsRowShown="0">
  <autoFilter ref="N51:N52" xr:uid="{AF1D5B1B-5862-486F-A827-791B5F688946}"/>
  <tableColumns count="1">
    <tableColumn id="1" xr3:uid="{81691AB3-56E4-48C0-9482-F18E66A9C752}" uniqueName="1" name="Column1" queryTableFieldId="1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BF83580-9AD0-42F1-92D6-9CF5F8FE3497}" name="Table15" displayName="Table15" ref="A1:I51" totalsRowCount="1" headerRowDxfId="36">
  <autoFilter ref="A1:I50" xr:uid="{5BF83580-9AD0-42F1-92D6-9CF5F8FE3497}"/>
  <tableColumns count="9">
    <tableColumn id="1" xr3:uid="{40BAB007-C57C-4D6C-A1C3-F242BB054B28}" name="Data Zakupu" dataDxfId="35" totalsRowDxfId="12"/>
    <tableColumn id="2" xr3:uid="{0113BD65-71CC-46F5-99C3-7BB45E58E763}" name="Nazwa Aktywa" dataDxfId="34" totalsRowDxfId="11"/>
    <tableColumn id="3" xr3:uid="{23222D61-C5F6-4F83-82B5-98FE7668B29F}" name="Symbol Akcji" dataDxfId="33" totalsRowDxfId="10"/>
    <tableColumn id="4" xr3:uid="{81473DBC-33E1-4E13-BEC0-140EE959D73B}" name="Liczba Jednostek" dataDxfId="32" totalsRowDxfId="9"/>
    <tableColumn id="5" xr3:uid="{836F9209-427B-49A2-B35C-3DB57FD9D933}" name="Cena Zakupu" dataDxfId="31" totalsRowDxfId="8"/>
    <tableColumn id="6" xr3:uid="{6EF70C24-76DF-4A2B-8F85-8477BC5C5456}" name="Wartość Transakcji" dataDxfId="30" totalsRowDxfId="7"/>
    <tableColumn id="7" xr3:uid="{1CDD29F1-DE23-42E7-81D1-3A392212352C}" name="Aktualna Cena Jednostkowa" dataDxfId="29" totalsRowDxfId="6"/>
    <tableColumn id="8" xr3:uid="{455D26C8-2B1C-4B68-9D74-B42661024D6A}" name="Łączna Wartość Rynkowa" dataDxfId="28" totalsRowDxfId="5"/>
    <tableColumn id="9" xr3:uid="{9F8CD1B8-02D4-4D09-9808-BCA57A78518C}" name="Waga w Portfelu" dataDxfId="27" totalsRow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A989855-26B5-4C77-84DC-C0FF5A495F18}" name="Table18" displayName="Table18" ref="A57:F62" totalsRowShown="0">
  <autoFilter ref="A57:F62" xr:uid="{EA989855-26B5-4C77-84DC-C0FF5A495F18}"/>
  <tableColumns count="6">
    <tableColumn id="1" xr3:uid="{7654293F-DC32-469B-8B2E-A07FD0DA8269}" name="Asset Name"/>
    <tableColumn id="2" xr3:uid="{A55B198E-A0BE-4FF7-A8D8-366C0780AE51}" name="Total Units" dataDxfId="26">
      <calculatedColumnFormula>SUMIF(Table15[Nazwa Aktywa], Table18[[#This Row],[Asset Name]], Table15[Liczba Jednostek])</calculatedColumnFormula>
    </tableColumn>
    <tableColumn id="3" xr3:uid="{AA8BB352-7197-47ED-94E1-9D1CC205EFFD}" name="Avg. Purchase Price" dataDxfId="14">
      <calculatedColumnFormula>AVERAGEIF(Table15[Nazwa Aktywa], Table18[[#This Row],[Asset Name]], Table15[Cena Zakupu])</calculatedColumnFormula>
    </tableColumn>
    <tableColumn id="4" xr3:uid="{8F6BB199-BE5B-4B85-BE8A-904FAB883F9F}" name="Total Value" dataDxfId="13">
      <calculatedColumnFormula>Table18[[#This Row],[Total Units]]*VLOOKUP(Table18[[#This Row],[Asset Name]],Table1[#All],3,FALSE)</calculatedColumnFormula>
    </tableColumn>
    <tableColumn id="5" xr3:uid="{F6041760-EBDA-45A7-9B29-F85624DF2D97}" name="Profit/Loss" dataDxfId="25">
      <calculatedColumnFormula>((VLOOKUP(Table18[[#This Row],[Asset Name]],Table1[#All],3,FALSE)- Table18[[#This Row],[Avg. Purchase Price]]) *Table18[[#This Row],[Total Units]])</calculatedColumnFormula>
    </tableColumn>
    <tableColumn id="6" xr3:uid="{C49E0B09-8854-4164-8751-1A754314963D}" name="Portfolio %" dataDxfId="24">
      <calculatedColumnFormula>Table18[[#This Row],[Total Value]]/SUM(Table18[Total Value])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4A6092-3351-44AB-829C-79FD41368277}" name="Table1" displayName="Table1" ref="P50:R55" totalsRowShown="0">
  <autoFilter ref="P50:R55" xr:uid="{9D4A6092-3351-44AB-829C-79FD41368277}"/>
  <tableColumns count="3">
    <tableColumn id="1" xr3:uid="{A4383700-88EA-4B5B-8E10-0881D365BE77}" name="Nazwa "/>
    <tableColumn id="2" xr3:uid="{EA072AF3-36D8-4802-9435-9BAE8258823C}" name="cena (tekst)"/>
    <tableColumn id="3" xr3:uid="{157E72FD-505A-466B-BABE-1BA5F04EAC8B}" name="Dane do spolek">
      <calculatedColumnFormula>VALUE(Q51)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FCBEF-BB99-4C21-8F85-443717CD0DA8}" name="Table_6__34" displayName="Table_6__34" ref="J51:J52" tableType="queryTable" totalsRowShown="0">
  <autoFilter ref="J51:J52" xr:uid="{E80FCBEF-BB99-4C21-8F85-443717CD0DA8}"/>
  <tableColumns count="1">
    <tableColumn id="1" xr3:uid="{2360BDAF-E9B3-4EBE-8BEB-C7C9042C5F51}" uniqueName="1" name="Column1" queryTableFieldId="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0CEE18-EB5D-4498-99E9-9D3A95A25773}" name="Table2" displayName="Table2" ref="A65:C66" totalsRowShown="0" dataDxfId="17">
  <autoFilter ref="A65:C66" xr:uid="{760CEE18-EB5D-4498-99E9-9D3A95A25773}"/>
  <tableColumns count="3">
    <tableColumn id="1" xr3:uid="{C500518C-FB89-4F9E-95A4-798E6C67FF3B}" name="ETF" dataDxfId="20">
      <calculatedColumnFormula>SUM(F60:F62)</calculatedColumnFormula>
    </tableColumn>
    <tableColumn id="2" xr3:uid="{9802DDC1-56BD-40A8-AF26-FFC125E08AD2}" name="Akcje" dataDxfId="19">
      <calculatedColumnFormula>SUM(F59)</calculatedColumnFormula>
    </tableColumn>
    <tableColumn id="3" xr3:uid="{A9BBEF4E-C2FD-4DC7-ABCF-3E3F0BAA907E}" name="Krypto" dataDxfId="18">
      <calculatedColumnFormula>SUM(F58)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43D337-0748-4D36-A203-DF96FC060BCA}" name="Table_7__26" displayName="Table_7__26" ref="P43:P44" tableType="queryTable" totalsRowShown="0">
  <autoFilter ref="P43:P44" xr:uid="{4E43D337-0748-4D36-A203-DF96FC060BCA}"/>
  <tableColumns count="1">
    <tableColumn id="1" xr3:uid="{A91ABB7C-7667-4E7C-A896-6B122A47160C}" uniqueName="1" name="Column1" queryTableFieldId="1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00E7119-9924-45A7-9450-C16EAF0956B8}" name="Table_7__48" displayName="Table_7__48" ref="Q43:Q44" tableType="queryTable" totalsRowShown="0">
  <autoFilter ref="Q43:Q44" xr:uid="{B00E7119-9924-45A7-9450-C16EAF0956B8}"/>
  <tableColumns count="1">
    <tableColumn id="1" xr3:uid="{D9937D00-6BE7-490D-B379-DC0757077938}" uniqueName="1" name="Column1" queryTableFieldId="1" dataDxfId="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1C4239-1A79-4766-ACEC-3D27751D7D86}" name="Table8" displayName="Table8" ref="A1:G10" totalsRowShown="0">
  <autoFilter ref="A1:G10" xr:uid="{E21C4239-1A79-4766-ACEC-3D27751D7D86}"/>
  <tableColumns count="7">
    <tableColumn id="1" xr3:uid="{95A6C30D-F4CB-4916-B00C-AC6C93ACC1F5}" name="Date" dataDxfId="3"/>
    <tableColumn id="2" xr3:uid="{FBA265DB-45D4-4BDC-B267-1E205C2BE0AE}" name="Total Value" dataDxfId="2">
      <calculatedColumnFormula array="1">SUM(C2:G2)*Table_7__48[Column1]</calculatedColumnFormula>
    </tableColumn>
    <tableColumn id="3" xr3:uid="{15241CE8-74FF-473C-AF61-0DDE5F6C6866}" name="BINANCECOIN"/>
    <tableColumn id="4" xr3:uid="{3F4577AF-79D0-46C2-B6DE-526F4245979F}" name="Barrick Gold"/>
    <tableColumn id="5" xr3:uid="{B6E98E5E-F8BE-485B-8199-7CC183CD9AC7}" name="MSCI World Information Index"/>
    <tableColumn id="6" xr3:uid="{36C3ABB8-5712-4DEE-A847-3C024E5B411A}" name="NASDAQ 100"/>
    <tableColumn id="7" xr3:uid="{5CDB9FDE-2687-4D0B-8C03-3C4770EC3B08}" name="Core S&amp;P 50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AEA5DB9-D17B-4DAE-9ECA-283B79CDAB58}" name="Table15_1" displayName="Table15_1" ref="A1:I51" tableType="queryTable" totalsRowShown="0">
  <autoFilter ref="A1:I51" xr:uid="{1AEA5DB9-D17B-4DAE-9ECA-283B79CDAB58}"/>
  <tableColumns count="9">
    <tableColumn id="1" xr3:uid="{E834CA86-0BF4-4AAE-90D2-5FC5BD0B1E82}" uniqueName="1" name="Data Zakupu" queryTableFieldId="1" dataDxfId="21"/>
    <tableColumn id="2" xr3:uid="{CF09AA78-BC83-4482-A36D-96744E1C1397}" uniqueName="2" name="Nazwa Aktywa" queryTableFieldId="2" dataDxfId="23"/>
    <tableColumn id="3" xr3:uid="{2C8743DE-4476-4447-BF8D-8203BFF13468}" uniqueName="3" name="Symbol Akcji" queryTableFieldId="3" dataDxfId="22"/>
    <tableColumn id="4" xr3:uid="{6E886A2E-E2D2-4D07-9963-CBD9E6EDE42C}" uniqueName="4" name="Liczba Jednostek" queryTableFieldId="4"/>
    <tableColumn id="5" xr3:uid="{1F08C971-638A-408A-B58B-418B73F10330}" uniqueName="5" name="Cena Zakupu" queryTableFieldId="5"/>
    <tableColumn id="6" xr3:uid="{C1A5ECC2-0777-44E8-84BC-EFB9DC15EB23}" uniqueName="6" name="Wartość Transakcji" queryTableFieldId="6"/>
    <tableColumn id="7" xr3:uid="{8DF28565-A9D4-4B93-BCE1-20198A3DC94A}" uniqueName="7" name="Aktualna Cena Jednostkowa" queryTableFieldId="7"/>
    <tableColumn id="8" xr3:uid="{83838028-E53E-426C-A183-6E329960E46F}" uniqueName="8" name="Łączna Wartość Rynkowa" queryTableFieldId="8"/>
    <tableColumn id="9" xr3:uid="{65410035-A40B-4EB3-BB4D-8DAA3C9DD1EC}" uniqueName="9" name="Waga w Portfelu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029A642-75AD-46B6-98F5-9E931FF3FDD5}">
  <we:reference id="wa104379220" version="8.0.0.0" store="pl-PL" storeType="OMEX"/>
  <we:alternateReferences>
    <we:reference id="wa104379220" version="8.0.0.0" store="wa104379220" storeType="OMEX"/>
  </we:alternateReferences>
  <we:properties>
    <we:property name="Office.AutoShowTaskpaneWithDocument" value="true"/>
    <we:property name="lastCryptoCompare" value="0"/>
    <we:property name="lastIexCall" value="1737409485329"/>
    <we:property name="lastInfo" value="{&quot;VOO&quot;:{&quot;time&quot;:1737409097795,&quot;updateTime&quot;:1737147600000,&quot;price&quot;:&quot;549.46&quot;,&quot;name&quot;:&quot;Vanguard S&amp;P 500 ETF&quot;,&quot;prevClose&quot;:544.2353407290016}}"/>
    <we:property name="lastMutualFundsCall" value="0"/>
    <we:property name="stocks" value="{}"/>
    <we:property name="stocksChange" value="{}"/>
    <we:property name="stocksOrder" value="[]"/>
    <we:property name="stocksSources" value="{}"/>
    <we:property name="updateIntervalIndex" value="2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875F8-7AE4-4FDC-8B9D-5A6A6F564FC5}">
  <sheetPr codeName="Sheet1"/>
  <dimension ref="A1:R66"/>
  <sheetViews>
    <sheetView topLeftCell="I34" workbookViewId="0">
      <selection activeCell="Q44" sqref="Q44"/>
    </sheetView>
  </sheetViews>
  <sheetFormatPr defaultRowHeight="14.4" x14ac:dyDescent="0.3"/>
  <cols>
    <col min="1" max="1" width="13.5546875" customWidth="1"/>
    <col min="2" max="2" width="15.21875" customWidth="1"/>
    <col min="3" max="3" width="13.77734375" customWidth="1"/>
    <col min="4" max="4" width="16.88671875" style="5" customWidth="1"/>
    <col min="5" max="5" width="13.88671875" style="5" customWidth="1"/>
    <col min="6" max="6" width="18.6640625" customWidth="1"/>
    <col min="7" max="7" width="26.5546875" style="5" customWidth="1"/>
    <col min="8" max="8" width="24.109375" customWidth="1"/>
    <col min="9" max="9" width="16.77734375" customWidth="1"/>
    <col min="10" max="14" width="10.77734375" bestFit="1" customWidth="1"/>
    <col min="16" max="16" width="26.21875" bestFit="1" customWidth="1"/>
    <col min="17" max="17" width="12.77734375" customWidth="1"/>
    <col min="18" max="18" width="15.77734375" customWidth="1"/>
  </cols>
  <sheetData>
    <row r="1" spans="1:11" x14ac:dyDescent="0.3">
      <c r="A1" s="11" t="s">
        <v>1</v>
      </c>
      <c r="B1" s="11" t="s">
        <v>0</v>
      </c>
      <c r="C1" s="11" t="s">
        <v>2</v>
      </c>
      <c r="D1" s="12" t="s">
        <v>3</v>
      </c>
      <c r="E1" s="12" t="s">
        <v>4</v>
      </c>
      <c r="F1" s="11" t="s">
        <v>5</v>
      </c>
      <c r="G1" s="12" t="s">
        <v>6</v>
      </c>
      <c r="H1" s="11" t="s">
        <v>7</v>
      </c>
      <c r="I1" s="11" t="s">
        <v>8</v>
      </c>
    </row>
    <row r="2" spans="1:11" x14ac:dyDescent="0.3">
      <c r="A2" s="13">
        <v>45366</v>
      </c>
      <c r="B2" s="11" t="s">
        <v>9</v>
      </c>
      <c r="C2" s="11" t="s">
        <v>12</v>
      </c>
      <c r="D2" s="14">
        <v>0.31580000000000003</v>
      </c>
      <c r="E2" s="15">
        <v>493.7</v>
      </c>
      <c r="F2" s="16">
        <f>D2*E2</f>
        <v>155.91046</v>
      </c>
      <c r="G2" s="11">
        <f>$R$53</f>
        <v>614.48</v>
      </c>
      <c r="H2" s="12">
        <f>(D2*G2)</f>
        <v>194.05278400000003</v>
      </c>
      <c r="I2" s="17" t="e" vm="1">
        <f t="shared" ref="I2:I33" ca="1" si="0">H2/$H$52</f>
        <v>#VALUE!</v>
      </c>
    </row>
    <row r="3" spans="1:11" x14ac:dyDescent="0.3">
      <c r="A3" s="13">
        <v>45366</v>
      </c>
      <c r="B3" s="18" t="s">
        <v>10</v>
      </c>
      <c r="C3" s="18" t="s">
        <v>13</v>
      </c>
      <c r="D3" s="19">
        <v>8.3599999999999994E-2</v>
      </c>
      <c r="E3" s="20">
        <v>932.3</v>
      </c>
      <c r="F3" s="16">
        <f t="shared" ref="F3:F49" si="1">D3*E3</f>
        <v>77.940279999999987</v>
      </c>
      <c r="G3" s="19">
        <f>$R$52</f>
        <v>1209</v>
      </c>
      <c r="H3" s="12">
        <f t="shared" ref="H3:H49" si="2">(D3*G3)</f>
        <v>101.07239999999999</v>
      </c>
      <c r="I3" s="17" t="e" vm="1">
        <f t="shared" ca="1" si="0"/>
        <v>#VALUE!</v>
      </c>
    </row>
    <row r="4" spans="1:11" ht="27" x14ac:dyDescent="0.3">
      <c r="A4" s="13">
        <v>45366</v>
      </c>
      <c r="B4" s="18" t="s">
        <v>11</v>
      </c>
      <c r="C4" s="18" t="s">
        <v>14</v>
      </c>
      <c r="D4" s="19">
        <v>1.0714999999999999</v>
      </c>
      <c r="E4" s="20">
        <v>72.760000000000005</v>
      </c>
      <c r="F4" s="16">
        <f t="shared" si="1"/>
        <v>77.962339999999998</v>
      </c>
      <c r="G4" s="19">
        <f>$R$51</f>
        <v>94.08</v>
      </c>
      <c r="H4" s="12">
        <f t="shared" si="2"/>
        <v>100.80671999999998</v>
      </c>
      <c r="I4" s="17" t="e" vm="1">
        <f t="shared" ca="1" si="0"/>
        <v>#VALUE!</v>
      </c>
      <c r="K4" s="6"/>
    </row>
    <row r="5" spans="1:11" x14ac:dyDescent="0.3">
      <c r="A5" s="21">
        <v>45369</v>
      </c>
      <c r="B5" s="11" t="s">
        <v>9</v>
      </c>
      <c r="C5" s="11" t="s">
        <v>12</v>
      </c>
      <c r="D5" s="19">
        <v>0.22800000000000001</v>
      </c>
      <c r="E5" s="20">
        <v>499.39</v>
      </c>
      <c r="F5" s="16">
        <f t="shared" si="1"/>
        <v>113.86092000000001</v>
      </c>
      <c r="G5" s="11">
        <f>$R$53</f>
        <v>614.48</v>
      </c>
      <c r="H5" s="12">
        <f t="shared" si="2"/>
        <v>140.10144</v>
      </c>
      <c r="I5" s="17" t="e" vm="1">
        <f t="shared" ca="1" si="0"/>
        <v>#VALUE!</v>
      </c>
    </row>
    <row r="6" spans="1:11" x14ac:dyDescent="0.3">
      <c r="A6" s="21">
        <v>45369</v>
      </c>
      <c r="B6" s="18" t="s">
        <v>10</v>
      </c>
      <c r="C6" s="18" t="s">
        <v>13</v>
      </c>
      <c r="D6" s="19">
        <v>6.0100000000000001E-2</v>
      </c>
      <c r="E6" s="20">
        <v>946.4</v>
      </c>
      <c r="F6" s="16">
        <f t="shared" si="1"/>
        <v>56.878639999999997</v>
      </c>
      <c r="G6" s="19">
        <f>$R$52</f>
        <v>1209</v>
      </c>
      <c r="H6" s="12">
        <f t="shared" si="2"/>
        <v>72.660899999999998</v>
      </c>
      <c r="I6" s="17" t="e" vm="1">
        <f t="shared" ca="1" si="0"/>
        <v>#VALUE!</v>
      </c>
    </row>
    <row r="7" spans="1:11" ht="27" x14ac:dyDescent="0.3">
      <c r="A7" s="21">
        <v>45369</v>
      </c>
      <c r="B7" s="18" t="s">
        <v>11</v>
      </c>
      <c r="C7" s="18" t="s">
        <v>14</v>
      </c>
      <c r="D7" s="19">
        <v>0.77390000000000003</v>
      </c>
      <c r="E7" s="20">
        <v>73.569999999999993</v>
      </c>
      <c r="F7" s="16">
        <f t="shared" si="1"/>
        <v>56.935822999999999</v>
      </c>
      <c r="G7" s="19">
        <f>$R$51</f>
        <v>94.08</v>
      </c>
      <c r="H7" s="12">
        <f t="shared" si="2"/>
        <v>72.808512000000007</v>
      </c>
      <c r="I7" s="17" t="e" vm="1">
        <f t="shared" ca="1" si="0"/>
        <v>#VALUE!</v>
      </c>
    </row>
    <row r="8" spans="1:11" x14ac:dyDescent="0.3">
      <c r="A8" s="21">
        <v>45401</v>
      </c>
      <c r="B8" s="11" t="s">
        <v>9</v>
      </c>
      <c r="C8" s="11" t="s">
        <v>12</v>
      </c>
      <c r="D8" s="19">
        <v>0.23780000000000001</v>
      </c>
      <c r="E8" s="20">
        <v>492.96</v>
      </c>
      <c r="F8" s="16">
        <f t="shared" si="1"/>
        <v>117.225888</v>
      </c>
      <c r="G8" s="11">
        <f>$R$53</f>
        <v>614.48</v>
      </c>
      <c r="H8" s="12">
        <f t="shared" si="2"/>
        <v>146.123344</v>
      </c>
      <c r="I8" s="17" t="e" vm="1">
        <f t="shared" ca="1" si="0"/>
        <v>#VALUE!</v>
      </c>
    </row>
    <row r="9" spans="1:11" x14ac:dyDescent="0.3">
      <c r="A9" s="21">
        <v>45401</v>
      </c>
      <c r="B9" s="18" t="s">
        <v>10</v>
      </c>
      <c r="C9" s="18" t="s">
        <v>13</v>
      </c>
      <c r="D9" s="19">
        <v>6.3700000000000007E-2</v>
      </c>
      <c r="E9" s="20">
        <v>919.2</v>
      </c>
      <c r="F9" s="16">
        <f t="shared" si="1"/>
        <v>58.55304000000001</v>
      </c>
      <c r="G9" s="19">
        <f>$R$52</f>
        <v>1209</v>
      </c>
      <c r="H9" s="12">
        <f t="shared" si="2"/>
        <v>77.013300000000001</v>
      </c>
      <c r="I9" s="17" t="e" vm="1">
        <f t="shared" ca="1" si="0"/>
        <v>#VALUE!</v>
      </c>
    </row>
    <row r="10" spans="1:11" ht="27" x14ac:dyDescent="0.3">
      <c r="A10" s="21">
        <v>45401</v>
      </c>
      <c r="B10" s="18" t="s">
        <v>11</v>
      </c>
      <c r="C10" s="18" t="s">
        <v>14</v>
      </c>
      <c r="D10" s="19">
        <v>0.83499999999999996</v>
      </c>
      <c r="E10" s="20">
        <v>70.19</v>
      </c>
      <c r="F10" s="16">
        <f t="shared" si="1"/>
        <v>58.608649999999997</v>
      </c>
      <c r="G10" s="19">
        <f>$R$51</f>
        <v>94.08</v>
      </c>
      <c r="H10" s="12">
        <f t="shared" si="2"/>
        <v>78.556799999999996</v>
      </c>
      <c r="I10" s="17" t="e" vm="1">
        <f t="shared" ca="1" si="0"/>
        <v>#VALUE!</v>
      </c>
    </row>
    <row r="11" spans="1:11" x14ac:dyDescent="0.3">
      <c r="A11" s="21">
        <v>45426</v>
      </c>
      <c r="B11" s="11" t="s">
        <v>9</v>
      </c>
      <c r="C11" s="11" t="s">
        <v>12</v>
      </c>
      <c r="D11" s="19">
        <v>0.22650000000000001</v>
      </c>
      <c r="E11" s="20">
        <v>508.62</v>
      </c>
      <c r="F11" s="16">
        <f t="shared" si="1"/>
        <v>115.20243000000001</v>
      </c>
      <c r="G11" s="11">
        <f>$R$53</f>
        <v>614.48</v>
      </c>
      <c r="H11" s="12">
        <f t="shared" si="2"/>
        <v>139.17972</v>
      </c>
      <c r="I11" s="17" t="e" vm="1">
        <f t="shared" ca="1" si="0"/>
        <v>#VALUE!</v>
      </c>
    </row>
    <row r="12" spans="1:11" x14ac:dyDescent="0.3">
      <c r="A12" s="21">
        <v>45426</v>
      </c>
      <c r="B12" s="18" t="s">
        <v>10</v>
      </c>
      <c r="C12" s="18" t="s">
        <v>13</v>
      </c>
      <c r="D12" s="19">
        <v>0.06</v>
      </c>
      <c r="E12" s="20">
        <v>959.3</v>
      </c>
      <c r="F12" s="16">
        <f t="shared" si="1"/>
        <v>57.557999999999993</v>
      </c>
      <c r="G12" s="19">
        <f>$R$52</f>
        <v>1209</v>
      </c>
      <c r="H12" s="12">
        <f t="shared" si="2"/>
        <v>72.539999999999992</v>
      </c>
      <c r="I12" s="17" t="e" vm="1">
        <f t="shared" ca="1" si="0"/>
        <v>#VALUE!</v>
      </c>
    </row>
    <row r="13" spans="1:11" ht="27" x14ac:dyDescent="0.3">
      <c r="A13" s="21">
        <v>45426</v>
      </c>
      <c r="B13" s="18" t="s">
        <v>11</v>
      </c>
      <c r="C13" s="18" t="s">
        <v>14</v>
      </c>
      <c r="D13" s="19">
        <v>0.78349999999999997</v>
      </c>
      <c r="E13" s="20">
        <v>73.52</v>
      </c>
      <c r="F13" s="16">
        <f t="shared" si="1"/>
        <v>57.602919999999997</v>
      </c>
      <c r="G13" s="19">
        <f>$R$51</f>
        <v>94.08</v>
      </c>
      <c r="H13" s="12">
        <f t="shared" si="2"/>
        <v>73.711680000000001</v>
      </c>
      <c r="I13" s="17" t="e" vm="1">
        <f t="shared" ca="1" si="0"/>
        <v>#VALUE!</v>
      </c>
    </row>
    <row r="14" spans="1:11" x14ac:dyDescent="0.3">
      <c r="A14" s="21">
        <v>45450</v>
      </c>
      <c r="B14" s="11" t="s">
        <v>9</v>
      </c>
      <c r="C14" s="11" t="s">
        <v>12</v>
      </c>
      <c r="D14" s="19">
        <v>0.1094</v>
      </c>
      <c r="E14" s="20">
        <v>522.79</v>
      </c>
      <c r="F14" s="16">
        <f t="shared" si="1"/>
        <v>57.193225999999996</v>
      </c>
      <c r="G14" s="11">
        <f>$R$53</f>
        <v>614.48</v>
      </c>
      <c r="H14" s="12">
        <f t="shared" si="2"/>
        <v>67.224112000000005</v>
      </c>
      <c r="I14" s="17" t="e" vm="1">
        <f t="shared" ca="1" si="0"/>
        <v>#VALUE!</v>
      </c>
    </row>
    <row r="15" spans="1:11" x14ac:dyDescent="0.3">
      <c r="A15" s="21">
        <v>45450</v>
      </c>
      <c r="B15" s="18" t="s">
        <v>10</v>
      </c>
      <c r="C15" s="18" t="s">
        <v>13</v>
      </c>
      <c r="D15" s="19">
        <v>2.8400000000000002E-2</v>
      </c>
      <c r="E15" s="20">
        <v>1005.2</v>
      </c>
      <c r="F15" s="16">
        <f t="shared" si="1"/>
        <v>28.547680000000003</v>
      </c>
      <c r="G15" s="19">
        <f>$R$52</f>
        <v>1209</v>
      </c>
      <c r="H15" s="12">
        <f t="shared" si="2"/>
        <v>34.335599999999999</v>
      </c>
      <c r="I15" s="17" t="e" vm="1">
        <f t="shared" ca="1" si="0"/>
        <v>#VALUE!</v>
      </c>
    </row>
    <row r="16" spans="1:11" ht="27" x14ac:dyDescent="0.3">
      <c r="A16" s="21">
        <v>45450</v>
      </c>
      <c r="B16" s="18" t="s">
        <v>11</v>
      </c>
      <c r="C16" s="18" t="s">
        <v>14</v>
      </c>
      <c r="D16" s="19">
        <v>0.3619</v>
      </c>
      <c r="E16" s="20">
        <v>79.010000000000005</v>
      </c>
      <c r="F16" s="16">
        <f t="shared" si="1"/>
        <v>28.593719</v>
      </c>
      <c r="G16" s="19">
        <f>$R$51</f>
        <v>94.08</v>
      </c>
      <c r="H16" s="12">
        <f t="shared" si="2"/>
        <v>34.047551999999996</v>
      </c>
      <c r="I16" s="17" t="e" vm="1">
        <f t="shared" ca="1" si="0"/>
        <v>#VALUE!</v>
      </c>
    </row>
    <row r="17" spans="1:9" x14ac:dyDescent="0.3">
      <c r="A17" s="21">
        <v>45483</v>
      </c>
      <c r="B17" s="11" t="s">
        <v>9</v>
      </c>
      <c r="C17" s="11" t="s">
        <v>12</v>
      </c>
      <c r="D17" s="19">
        <v>0.1197</v>
      </c>
      <c r="E17" s="20">
        <v>544.73</v>
      </c>
      <c r="F17" s="16">
        <f t="shared" si="1"/>
        <v>65.204181000000005</v>
      </c>
      <c r="G17" s="11">
        <f>$R$53</f>
        <v>614.48</v>
      </c>
      <c r="H17" s="12">
        <f t="shared" si="2"/>
        <v>73.553256000000005</v>
      </c>
      <c r="I17" s="17" t="e" vm="1">
        <f t="shared" ca="1" si="0"/>
        <v>#VALUE!</v>
      </c>
    </row>
    <row r="18" spans="1:9" x14ac:dyDescent="0.3">
      <c r="A18" s="21">
        <v>45483</v>
      </c>
      <c r="B18" s="18" t="s">
        <v>10</v>
      </c>
      <c r="C18" s="18" t="s">
        <v>13</v>
      </c>
      <c r="D18" s="19">
        <v>3.0099999999999998E-2</v>
      </c>
      <c r="E18" s="20">
        <v>1082.5999999999999</v>
      </c>
      <c r="F18" s="16">
        <f t="shared" si="1"/>
        <v>32.586259999999996</v>
      </c>
      <c r="G18" s="19">
        <f>$R$52</f>
        <v>1209</v>
      </c>
      <c r="H18" s="12">
        <f t="shared" si="2"/>
        <v>36.390899999999995</v>
      </c>
      <c r="I18" s="17" t="e" vm="1">
        <f t="shared" ca="1" si="0"/>
        <v>#VALUE!</v>
      </c>
    </row>
    <row r="19" spans="1:9" ht="27" x14ac:dyDescent="0.3">
      <c r="A19" s="21">
        <v>45483</v>
      </c>
      <c r="B19" s="18" t="s">
        <v>11</v>
      </c>
      <c r="C19" s="18" t="s">
        <v>14</v>
      </c>
      <c r="D19" s="19">
        <v>0.37519999999999998</v>
      </c>
      <c r="E19" s="20">
        <v>86.93</v>
      </c>
      <c r="F19" s="16">
        <f t="shared" si="1"/>
        <v>32.616135999999997</v>
      </c>
      <c r="G19" s="19">
        <f>$R$51</f>
        <v>94.08</v>
      </c>
      <c r="H19" s="12">
        <f t="shared" si="2"/>
        <v>35.298815999999995</v>
      </c>
      <c r="I19" s="17" t="e" vm="1">
        <f t="shared" ca="1" si="0"/>
        <v>#VALUE!</v>
      </c>
    </row>
    <row r="20" spans="1:9" x14ac:dyDescent="0.3">
      <c r="A20" s="21">
        <v>45566</v>
      </c>
      <c r="B20" s="11" t="s">
        <v>9</v>
      </c>
      <c r="C20" s="11" t="s">
        <v>12</v>
      </c>
      <c r="D20" s="19">
        <v>0.26950000000000002</v>
      </c>
      <c r="E20" s="20">
        <v>549.64</v>
      </c>
      <c r="F20" s="16">
        <f t="shared" si="1"/>
        <v>148.12798000000001</v>
      </c>
      <c r="G20" s="11">
        <f>$R$53</f>
        <v>614.48</v>
      </c>
      <c r="H20" s="12">
        <f t="shared" si="2"/>
        <v>165.60236</v>
      </c>
      <c r="I20" s="17" t="e" vm="1">
        <f t="shared" ca="1" si="0"/>
        <v>#VALUE!</v>
      </c>
    </row>
    <row r="21" spans="1:9" x14ac:dyDescent="0.3">
      <c r="A21" s="21">
        <v>45566</v>
      </c>
      <c r="B21" s="18" t="s">
        <v>10</v>
      </c>
      <c r="C21" s="18" t="s">
        <v>13</v>
      </c>
      <c r="D21" s="19">
        <v>7.1499999999999994E-2</v>
      </c>
      <c r="E21" s="20">
        <v>1034.8</v>
      </c>
      <c r="F21" s="16">
        <f t="shared" si="1"/>
        <v>73.988199999999992</v>
      </c>
      <c r="G21" s="19">
        <f>$R$52</f>
        <v>1209</v>
      </c>
      <c r="H21" s="12">
        <f t="shared" si="2"/>
        <v>86.443499999999986</v>
      </c>
      <c r="I21" s="17" t="e" vm="1">
        <f t="shared" ca="1" si="0"/>
        <v>#VALUE!</v>
      </c>
    </row>
    <row r="22" spans="1:9" ht="27" x14ac:dyDescent="0.3">
      <c r="A22" s="21">
        <v>45566</v>
      </c>
      <c r="B22" s="18" t="s">
        <v>11</v>
      </c>
      <c r="C22" s="18" t="s">
        <v>14</v>
      </c>
      <c r="D22" s="19">
        <v>0.9022</v>
      </c>
      <c r="E22" s="20">
        <v>82.1</v>
      </c>
      <c r="F22" s="16">
        <f t="shared" si="1"/>
        <v>74.070619999999991</v>
      </c>
      <c r="G22" s="19">
        <f>$R$51</f>
        <v>94.08</v>
      </c>
      <c r="H22" s="12">
        <f t="shared" si="2"/>
        <v>84.878975999999994</v>
      </c>
      <c r="I22" s="17" t="e" vm="1">
        <f t="shared" ca="1" si="0"/>
        <v>#VALUE!</v>
      </c>
    </row>
    <row r="23" spans="1:9" x14ac:dyDescent="0.3">
      <c r="A23" s="21">
        <v>45604</v>
      </c>
      <c r="B23" s="11" t="s">
        <v>9</v>
      </c>
      <c r="C23" s="11" t="s">
        <v>12</v>
      </c>
      <c r="D23" s="19">
        <v>0.2878</v>
      </c>
      <c r="E23" s="20">
        <v>591.67999999999995</v>
      </c>
      <c r="F23" s="16">
        <f t="shared" si="1"/>
        <v>170.28550399999997</v>
      </c>
      <c r="G23" s="11">
        <f>$R$53</f>
        <v>614.48</v>
      </c>
      <c r="H23" s="12">
        <f t="shared" si="2"/>
        <v>176.84734399999999</v>
      </c>
      <c r="I23" s="17" t="e" vm="1">
        <f t="shared" ca="1" si="0"/>
        <v>#VALUE!</v>
      </c>
    </row>
    <row r="24" spans="1:9" x14ac:dyDescent="0.3">
      <c r="A24" s="21">
        <v>45604</v>
      </c>
      <c r="B24" s="18" t="s">
        <v>10</v>
      </c>
      <c r="C24" s="18" t="s">
        <v>13</v>
      </c>
      <c r="D24" s="19">
        <v>7.5700000000000003E-2</v>
      </c>
      <c r="E24" s="20">
        <v>1124</v>
      </c>
      <c r="F24" s="16">
        <f t="shared" si="1"/>
        <v>85.086800000000011</v>
      </c>
      <c r="G24" s="19">
        <f>$R$52</f>
        <v>1209</v>
      </c>
      <c r="H24" s="12">
        <f t="shared" si="2"/>
        <v>91.521300000000011</v>
      </c>
      <c r="I24" s="17" t="e" vm="1">
        <f t="shared" ca="1" si="0"/>
        <v>#VALUE!</v>
      </c>
    </row>
    <row r="25" spans="1:9" ht="27" x14ac:dyDescent="0.3">
      <c r="A25" s="21">
        <v>45604</v>
      </c>
      <c r="B25" s="18" t="s">
        <v>11</v>
      </c>
      <c r="C25" s="18" t="s">
        <v>14</v>
      </c>
      <c r="D25" s="19">
        <v>0.96089999999999998</v>
      </c>
      <c r="E25" s="20">
        <v>88.62</v>
      </c>
      <c r="F25" s="16">
        <f t="shared" si="1"/>
        <v>85.154958000000008</v>
      </c>
      <c r="G25" s="19">
        <f>$R$51</f>
        <v>94.08</v>
      </c>
      <c r="H25" s="12">
        <f t="shared" si="2"/>
        <v>90.401471999999998</v>
      </c>
      <c r="I25" s="17" t="e" vm="1">
        <f t="shared" ca="1" si="0"/>
        <v>#VALUE!</v>
      </c>
    </row>
    <row r="26" spans="1:9" x14ac:dyDescent="0.3">
      <c r="A26" s="21">
        <v>45622</v>
      </c>
      <c r="B26" s="11" t="s">
        <v>9</v>
      </c>
      <c r="C26" s="11" t="s">
        <v>12</v>
      </c>
      <c r="D26" s="19">
        <v>0.309</v>
      </c>
      <c r="E26" s="20">
        <v>607.82000000000005</v>
      </c>
      <c r="F26" s="16">
        <f t="shared" si="1"/>
        <v>187.81638000000001</v>
      </c>
      <c r="G26" s="11">
        <f>$R$53</f>
        <v>614.48</v>
      </c>
      <c r="H26" s="12">
        <f t="shared" si="2"/>
        <v>189.87432000000001</v>
      </c>
      <c r="I26" s="17" t="e" vm="1">
        <f t="shared" ca="1" si="0"/>
        <v>#VALUE!</v>
      </c>
    </row>
    <row r="27" spans="1:9" x14ac:dyDescent="0.3">
      <c r="A27" s="21">
        <v>45622</v>
      </c>
      <c r="B27" s="18" t="s">
        <v>10</v>
      </c>
      <c r="C27" s="18" t="s">
        <v>13</v>
      </c>
      <c r="D27" s="19">
        <v>8.2299999999999998E-2</v>
      </c>
      <c r="E27" s="20">
        <v>1140</v>
      </c>
      <c r="F27" s="16">
        <f t="shared" si="1"/>
        <v>93.822000000000003</v>
      </c>
      <c r="G27" s="19">
        <f>$R$52</f>
        <v>1209</v>
      </c>
      <c r="H27" s="12">
        <f t="shared" si="2"/>
        <v>99.500699999999995</v>
      </c>
      <c r="I27" s="17" t="e" vm="1">
        <f t="shared" ca="1" si="0"/>
        <v>#VALUE!</v>
      </c>
    </row>
    <row r="28" spans="1:9" ht="27" x14ac:dyDescent="0.3">
      <c r="A28" s="21">
        <v>45622</v>
      </c>
      <c r="B28" s="18" t="s">
        <v>11</v>
      </c>
      <c r="C28" s="18" t="s">
        <v>14</v>
      </c>
      <c r="D28" s="19">
        <v>1</v>
      </c>
      <c r="E28" s="20">
        <v>89.77</v>
      </c>
      <c r="F28" s="16">
        <f t="shared" si="1"/>
        <v>89.77</v>
      </c>
      <c r="G28" s="19">
        <f>$R$51</f>
        <v>94.08</v>
      </c>
      <c r="H28" s="12">
        <f t="shared" si="2"/>
        <v>94.08</v>
      </c>
      <c r="I28" s="17" t="e" vm="1">
        <f t="shared" ca="1" si="0"/>
        <v>#VALUE!</v>
      </c>
    </row>
    <row r="29" spans="1:9" ht="27" x14ac:dyDescent="0.3">
      <c r="A29" s="21">
        <v>45622</v>
      </c>
      <c r="B29" s="18" t="s">
        <v>11</v>
      </c>
      <c r="C29" s="18" t="s">
        <v>14</v>
      </c>
      <c r="D29" s="19">
        <v>4.1599999999999998E-2</v>
      </c>
      <c r="E29" s="20">
        <v>90.17</v>
      </c>
      <c r="F29" s="16">
        <f t="shared" si="1"/>
        <v>3.7510719999999997</v>
      </c>
      <c r="G29" s="19">
        <f>$R$51</f>
        <v>94.08</v>
      </c>
      <c r="H29" s="12">
        <f t="shared" si="2"/>
        <v>3.9137279999999999</v>
      </c>
      <c r="I29" s="17" t="e" vm="1">
        <f t="shared" ca="1" si="0"/>
        <v>#VALUE!</v>
      </c>
    </row>
    <row r="30" spans="1:9" x14ac:dyDescent="0.3">
      <c r="A30" s="21">
        <v>45631</v>
      </c>
      <c r="B30" s="11" t="s">
        <v>9</v>
      </c>
      <c r="C30" s="11" t="s">
        <v>12</v>
      </c>
      <c r="D30" s="19">
        <v>0.28399999999999997</v>
      </c>
      <c r="E30" s="20">
        <v>610.16</v>
      </c>
      <c r="F30" s="16">
        <f t="shared" si="1"/>
        <v>173.28543999999997</v>
      </c>
      <c r="G30" s="11">
        <f>$R$53</f>
        <v>614.48</v>
      </c>
      <c r="H30" s="12">
        <f t="shared" si="2"/>
        <v>174.51231999999999</v>
      </c>
      <c r="I30" s="17" t="e" vm="1">
        <f t="shared" ca="1" si="0"/>
        <v>#VALUE!</v>
      </c>
    </row>
    <row r="31" spans="1:9" x14ac:dyDescent="0.3">
      <c r="A31" s="21">
        <v>45631</v>
      </c>
      <c r="B31" s="18" t="s">
        <v>10</v>
      </c>
      <c r="C31" s="18" t="s">
        <v>13</v>
      </c>
      <c r="D31" s="19">
        <v>7.4499999999999997E-2</v>
      </c>
      <c r="E31" s="20">
        <v>1162</v>
      </c>
      <c r="F31" s="16">
        <f t="shared" si="1"/>
        <v>86.569000000000003</v>
      </c>
      <c r="G31" s="19">
        <f>$R$52</f>
        <v>1209</v>
      </c>
      <c r="H31" s="12">
        <f t="shared" si="2"/>
        <v>90.070499999999996</v>
      </c>
      <c r="I31" s="17" t="e" vm="1">
        <f t="shared" ca="1" si="0"/>
        <v>#VALUE!</v>
      </c>
    </row>
    <row r="32" spans="1:9" ht="27" x14ac:dyDescent="0.3">
      <c r="A32" s="21">
        <v>45631</v>
      </c>
      <c r="B32" s="18" t="s">
        <v>11</v>
      </c>
      <c r="C32" s="18" t="s">
        <v>14</v>
      </c>
      <c r="D32" s="19">
        <v>0.93579999999999997</v>
      </c>
      <c r="E32" s="20">
        <v>92.6</v>
      </c>
      <c r="F32" s="16">
        <f t="shared" si="1"/>
        <v>86.655079999999998</v>
      </c>
      <c r="G32" s="19">
        <f>$R$51</f>
        <v>94.08</v>
      </c>
      <c r="H32" s="12">
        <f t="shared" si="2"/>
        <v>88.040064000000001</v>
      </c>
      <c r="I32" s="17" t="e" vm="1">
        <f t="shared" ca="1" si="0"/>
        <v>#VALUE!</v>
      </c>
    </row>
    <row r="33" spans="1:17" x14ac:dyDescent="0.3">
      <c r="A33" s="21">
        <v>45997</v>
      </c>
      <c r="B33" s="11" t="s">
        <v>9</v>
      </c>
      <c r="C33" s="11" t="s">
        <v>12</v>
      </c>
      <c r="D33" s="19">
        <v>0.18890000000000001</v>
      </c>
      <c r="E33" s="20">
        <v>610.67999999999995</v>
      </c>
      <c r="F33" s="16">
        <f t="shared" si="1"/>
        <v>115.35745199999999</v>
      </c>
      <c r="G33" s="11">
        <f>$R$53</f>
        <v>614.48</v>
      </c>
      <c r="H33" s="12">
        <f t="shared" si="2"/>
        <v>116.07527200000001</v>
      </c>
      <c r="I33" s="17" t="e" vm="1">
        <f t="shared" ca="1" si="0"/>
        <v>#VALUE!</v>
      </c>
    </row>
    <row r="34" spans="1:17" x14ac:dyDescent="0.3">
      <c r="A34" s="21">
        <v>45997</v>
      </c>
      <c r="B34" s="18" t="s">
        <v>10</v>
      </c>
      <c r="C34" s="18" t="s">
        <v>13</v>
      </c>
      <c r="D34" s="19">
        <v>4.9399999999999999E-2</v>
      </c>
      <c r="E34" s="20">
        <v>1167</v>
      </c>
      <c r="F34" s="16">
        <f t="shared" si="1"/>
        <v>57.649799999999999</v>
      </c>
      <c r="G34" s="19">
        <f>$R$52</f>
        <v>1209</v>
      </c>
      <c r="H34" s="12">
        <f t="shared" si="2"/>
        <v>59.724600000000002</v>
      </c>
      <c r="I34" s="17" t="e" vm="1">
        <f t="shared" ref="I34:I49" ca="1" si="3">H34/$H$52</f>
        <v>#VALUE!</v>
      </c>
    </row>
    <row r="35" spans="1:17" ht="27" x14ac:dyDescent="0.3">
      <c r="A35" s="21">
        <v>45997</v>
      </c>
      <c r="B35" s="18" t="s">
        <v>11</v>
      </c>
      <c r="C35" s="18" t="s">
        <v>14</v>
      </c>
      <c r="D35" s="19">
        <v>0.62239999999999995</v>
      </c>
      <c r="E35" s="20">
        <v>92.69</v>
      </c>
      <c r="F35" s="16">
        <f t="shared" si="1"/>
        <v>57.690255999999991</v>
      </c>
      <c r="G35" s="19">
        <f>$R$51</f>
        <v>94.08</v>
      </c>
      <c r="H35" s="12">
        <f>(D35*G35)</f>
        <v>58.555391999999998</v>
      </c>
      <c r="I35" s="17" t="e" vm="1">
        <f t="shared" ca="1" si="3"/>
        <v>#VALUE!</v>
      </c>
    </row>
    <row r="36" spans="1:17" x14ac:dyDescent="0.3">
      <c r="A36" s="21">
        <v>45666</v>
      </c>
      <c r="B36" s="11" t="s">
        <v>9</v>
      </c>
      <c r="C36" s="11" t="s">
        <v>12</v>
      </c>
      <c r="D36" s="19">
        <v>0.1895</v>
      </c>
      <c r="E36" s="20">
        <v>608.34</v>
      </c>
      <c r="F36" s="16">
        <f t="shared" si="1"/>
        <v>115.28043000000001</v>
      </c>
      <c r="G36" s="11">
        <f>$R$53</f>
        <v>614.48</v>
      </c>
      <c r="H36" s="12">
        <f t="shared" si="2"/>
        <v>116.44396</v>
      </c>
      <c r="I36" s="17" t="e" vm="1">
        <f t="shared" ca="1" si="3"/>
        <v>#VALUE!</v>
      </c>
    </row>
    <row r="37" spans="1:17" x14ac:dyDescent="0.3">
      <c r="A37" s="21">
        <v>45666</v>
      </c>
      <c r="B37" s="18" t="s">
        <v>10</v>
      </c>
      <c r="C37" s="18" t="s">
        <v>13</v>
      </c>
      <c r="D37" s="19">
        <v>4.9099999999999998E-2</v>
      </c>
      <c r="E37" s="20">
        <v>1174</v>
      </c>
      <c r="F37" s="16">
        <f t="shared" si="1"/>
        <v>57.6434</v>
      </c>
      <c r="G37" s="19">
        <f>$R$52</f>
        <v>1209</v>
      </c>
      <c r="H37" s="12">
        <f t="shared" si="2"/>
        <v>59.361899999999999</v>
      </c>
      <c r="I37" s="17" t="e" vm="1">
        <f t="shared" ca="1" si="3"/>
        <v>#VALUE!</v>
      </c>
    </row>
    <row r="38" spans="1:17" ht="27" x14ac:dyDescent="0.3">
      <c r="A38" s="21">
        <v>45666</v>
      </c>
      <c r="B38" s="18" t="s">
        <v>11</v>
      </c>
      <c r="C38" s="18" t="s">
        <v>14</v>
      </c>
      <c r="D38" s="19">
        <v>0.62060000000000004</v>
      </c>
      <c r="E38" s="20">
        <v>92.9</v>
      </c>
      <c r="F38" s="16">
        <f t="shared" si="1"/>
        <v>57.653740000000006</v>
      </c>
      <c r="G38" s="19">
        <f>$R$51</f>
        <v>94.08</v>
      </c>
      <c r="H38" s="12">
        <f t="shared" si="2"/>
        <v>58.386048000000002</v>
      </c>
      <c r="I38" s="17" t="e" vm="1">
        <f t="shared" ca="1" si="3"/>
        <v>#VALUE!</v>
      </c>
    </row>
    <row r="39" spans="1:17" x14ac:dyDescent="0.3">
      <c r="A39" s="21">
        <v>45608</v>
      </c>
      <c r="B39" s="18" t="s">
        <v>16</v>
      </c>
      <c r="C39" s="22" t="s">
        <v>15</v>
      </c>
      <c r="D39" s="19">
        <v>71.395099999999999</v>
      </c>
      <c r="E39" s="20">
        <v>16.989999999999998</v>
      </c>
      <c r="F39" s="16">
        <f t="shared" si="1"/>
        <v>1213.0027489999998</v>
      </c>
      <c r="G39" s="19" t="e" vm="1">
        <f ca="1">$R$54</f>
        <v>#VALUE!</v>
      </c>
      <c r="H39" s="12" t="e" vm="1">
        <f t="shared" ca="1" si="2"/>
        <v>#VALUE!</v>
      </c>
      <c r="I39" s="17" t="e" vm="1">
        <f t="shared" ca="1" si="3"/>
        <v>#VALUE!</v>
      </c>
    </row>
    <row r="40" spans="1:17" x14ac:dyDescent="0.3">
      <c r="A40" s="21">
        <v>45631</v>
      </c>
      <c r="B40" s="18" t="s">
        <v>16</v>
      </c>
      <c r="C40" s="22" t="s">
        <v>15</v>
      </c>
      <c r="D40" s="23">
        <v>7.2718999999999996</v>
      </c>
      <c r="E40" s="20">
        <v>16.95</v>
      </c>
      <c r="F40" s="16">
        <f t="shared" si="1"/>
        <v>123.25870499999999</v>
      </c>
      <c r="G40" s="19" t="e" vm="1">
        <f t="shared" ref="G40:G47" ca="1" si="4">$R$54</f>
        <v>#VALUE!</v>
      </c>
      <c r="H40" s="12" t="e" vm="1">
        <f t="shared" ca="1" si="2"/>
        <v>#VALUE!</v>
      </c>
      <c r="I40" s="17" t="e" vm="1">
        <f t="shared" ca="1" si="3"/>
        <v>#VALUE!</v>
      </c>
    </row>
    <row r="41" spans="1:17" x14ac:dyDescent="0.3">
      <c r="A41" s="21">
        <v>45632</v>
      </c>
      <c r="B41" s="18" t="s">
        <v>16</v>
      </c>
      <c r="C41" s="22" t="s">
        <v>15</v>
      </c>
      <c r="D41" s="23">
        <v>14.6607</v>
      </c>
      <c r="E41" s="20">
        <v>16.78</v>
      </c>
      <c r="F41" s="16">
        <f t="shared" si="1"/>
        <v>246.00654600000001</v>
      </c>
      <c r="G41" s="19" t="e" vm="1">
        <f t="shared" ca="1" si="4"/>
        <v>#VALUE!</v>
      </c>
      <c r="H41" s="12" t="e" vm="1">
        <f t="shared" ca="1" si="2"/>
        <v>#VALUE!</v>
      </c>
      <c r="I41" s="17" t="e" vm="1">
        <f t="shared" ca="1" si="3"/>
        <v>#VALUE!</v>
      </c>
    </row>
    <row r="42" spans="1:17" x14ac:dyDescent="0.3">
      <c r="A42" s="21">
        <v>45635</v>
      </c>
      <c r="B42" s="18" t="s">
        <v>16</v>
      </c>
      <c r="C42" s="22" t="s">
        <v>15</v>
      </c>
      <c r="D42" s="23">
        <v>17</v>
      </c>
      <c r="E42" s="20">
        <v>17.09</v>
      </c>
      <c r="F42" s="16">
        <f t="shared" si="1"/>
        <v>290.52999999999997</v>
      </c>
      <c r="G42" s="19" t="e" vm="1">
        <f t="shared" ca="1" si="4"/>
        <v>#VALUE!</v>
      </c>
      <c r="H42" s="12" t="e" vm="1">
        <f t="shared" ca="1" si="2"/>
        <v>#VALUE!</v>
      </c>
      <c r="I42" s="17" t="e" vm="1">
        <f t="shared" ca="1" si="3"/>
        <v>#VALUE!</v>
      </c>
      <c r="P42" t="s">
        <v>40</v>
      </c>
      <c r="Q42" t="s">
        <v>41</v>
      </c>
    </row>
    <row r="43" spans="1:17" x14ac:dyDescent="0.3">
      <c r="A43" s="21">
        <v>45635</v>
      </c>
      <c r="B43" s="18" t="s">
        <v>16</v>
      </c>
      <c r="C43" s="22" t="s">
        <v>15</v>
      </c>
      <c r="D43" s="23">
        <v>0.66849999999999998</v>
      </c>
      <c r="E43" s="20">
        <v>16.79</v>
      </c>
      <c r="F43" s="16">
        <f t="shared" si="1"/>
        <v>11.224114999999999</v>
      </c>
      <c r="G43" s="19" t="e" vm="1">
        <f t="shared" ca="1" si="4"/>
        <v>#VALUE!</v>
      </c>
      <c r="H43" s="12" t="e" vm="1">
        <f t="shared" ca="1" si="2"/>
        <v>#VALUE!</v>
      </c>
      <c r="I43" s="17" t="e" vm="1">
        <f t="shared" ca="1" si="3"/>
        <v>#VALUE!</v>
      </c>
      <c r="P43" t="s">
        <v>18</v>
      </c>
      <c r="Q43" t="s">
        <v>18</v>
      </c>
    </row>
    <row r="44" spans="1:17" x14ac:dyDescent="0.3">
      <c r="A44" s="21">
        <v>45643</v>
      </c>
      <c r="B44" s="18" t="s">
        <v>16</v>
      </c>
      <c r="C44" s="22" t="s">
        <v>15</v>
      </c>
      <c r="D44" s="23">
        <v>34.518999999999998</v>
      </c>
      <c r="E44" s="20">
        <v>16.190000000000001</v>
      </c>
      <c r="F44" s="16">
        <f t="shared" si="1"/>
        <v>558.86261000000002</v>
      </c>
      <c r="G44" s="19" t="e" vm="1">
        <f t="shared" ca="1" si="4"/>
        <v>#VALUE!</v>
      </c>
      <c r="H44" s="12" t="e" vm="1">
        <f t="shared" ca="1" si="2"/>
        <v>#VALUE!</v>
      </c>
      <c r="I44" s="17" t="e" vm="1">
        <f t="shared" ca="1" si="3"/>
        <v>#VALUE!</v>
      </c>
      <c r="P44" s="39" t="s">
        <v>39</v>
      </c>
      <c r="Q44" s="39" t="s">
        <v>42</v>
      </c>
    </row>
    <row r="45" spans="1:17" x14ac:dyDescent="0.3">
      <c r="A45" s="21">
        <v>45667</v>
      </c>
      <c r="B45" s="18" t="s">
        <v>16</v>
      </c>
      <c r="C45" s="22" t="s">
        <v>15</v>
      </c>
      <c r="D45" s="23">
        <v>15.749000000000001</v>
      </c>
      <c r="E45" s="20">
        <v>15.92</v>
      </c>
      <c r="F45" s="16">
        <f t="shared" si="1"/>
        <v>250.72408000000001</v>
      </c>
      <c r="G45" s="19" t="e" vm="1">
        <f t="shared" ca="1" si="4"/>
        <v>#VALUE!</v>
      </c>
      <c r="H45" s="12" t="e" vm="1">
        <f t="shared" ca="1" si="2"/>
        <v>#VALUE!</v>
      </c>
      <c r="I45" s="17" t="e" vm="1">
        <f t="shared" ca="1" si="3"/>
        <v>#VALUE!</v>
      </c>
    </row>
    <row r="46" spans="1:17" x14ac:dyDescent="0.3">
      <c r="A46" s="21">
        <v>45671</v>
      </c>
      <c r="B46" s="18" t="s">
        <v>16</v>
      </c>
      <c r="C46" s="22" t="s">
        <v>15</v>
      </c>
      <c r="D46" s="23">
        <v>0.53059999999999996</v>
      </c>
      <c r="E46" s="20">
        <v>15.4</v>
      </c>
      <c r="F46" s="16">
        <f t="shared" si="1"/>
        <v>8.1712399999999992</v>
      </c>
      <c r="G46" s="19" t="e" vm="1">
        <f t="shared" ca="1" si="4"/>
        <v>#VALUE!</v>
      </c>
      <c r="H46" s="12" t="e" vm="1">
        <f t="shared" ca="1" si="2"/>
        <v>#VALUE!</v>
      </c>
      <c r="I46" s="17" t="e" vm="1">
        <f t="shared" ca="1" si="3"/>
        <v>#VALUE!</v>
      </c>
    </row>
    <row r="47" spans="1:17" x14ac:dyDescent="0.3">
      <c r="A47" s="21">
        <v>45671</v>
      </c>
      <c r="B47" s="18" t="s">
        <v>16</v>
      </c>
      <c r="C47" s="22" t="s">
        <v>15</v>
      </c>
      <c r="D47" s="23">
        <v>15</v>
      </c>
      <c r="E47" s="20">
        <v>15.39</v>
      </c>
      <c r="F47" s="16">
        <f t="shared" si="1"/>
        <v>230.85000000000002</v>
      </c>
      <c r="G47" s="19" t="e" vm="1">
        <f t="shared" ca="1" si="4"/>
        <v>#VALUE!</v>
      </c>
      <c r="H47" s="12" t="e" vm="1">
        <f t="shared" ca="1" si="2"/>
        <v>#VALUE!</v>
      </c>
      <c r="I47" s="17" t="e" vm="1">
        <f t="shared" ca="1" si="3"/>
        <v>#VALUE!</v>
      </c>
    </row>
    <row r="48" spans="1:17" x14ac:dyDescent="0.3">
      <c r="A48" s="21">
        <v>45671</v>
      </c>
      <c r="B48" s="24" t="s">
        <v>17</v>
      </c>
      <c r="C48" s="25" t="s">
        <v>17</v>
      </c>
      <c r="D48" s="29">
        <f>VALUE(0.35)</f>
        <v>0.35</v>
      </c>
      <c r="E48" s="26">
        <v>701.38</v>
      </c>
      <c r="F48" s="16">
        <f t="shared" si="1"/>
        <v>245.48299999999998</v>
      </c>
      <c r="G48" s="19">
        <f>$R$55</f>
        <v>656.41</v>
      </c>
      <c r="H48" s="12">
        <f t="shared" si="2"/>
        <v>229.74349999999998</v>
      </c>
      <c r="I48" s="17" t="e" vm="1">
        <f t="shared" ca="1" si="3"/>
        <v>#VALUE!</v>
      </c>
    </row>
    <row r="49" spans="1:18" x14ac:dyDescent="0.3">
      <c r="A49" s="21">
        <v>45666</v>
      </c>
      <c r="B49" s="24" t="s">
        <v>17</v>
      </c>
      <c r="C49" s="25" t="s">
        <v>17</v>
      </c>
      <c r="D49" s="30">
        <f>VALUE(0.55)</f>
        <v>0.55000000000000004</v>
      </c>
      <c r="E49" s="27">
        <v>700.87</v>
      </c>
      <c r="F49" s="16">
        <f t="shared" si="1"/>
        <v>385.47850000000005</v>
      </c>
      <c r="G49" s="19">
        <f t="shared" ref="G49" si="5">$R$55</f>
        <v>656.41</v>
      </c>
      <c r="H49" s="12">
        <f t="shared" si="2"/>
        <v>361.02550000000002</v>
      </c>
      <c r="I49" s="17" t="e" vm="1">
        <f t="shared" ca="1" si="3"/>
        <v>#VALUE!</v>
      </c>
    </row>
    <row r="50" spans="1:18" ht="27" x14ac:dyDescent="0.3">
      <c r="A50" s="21"/>
      <c r="B50" s="24"/>
      <c r="C50" s="25"/>
      <c r="D50" s="30"/>
      <c r="E50" s="27"/>
      <c r="F50" s="16"/>
      <c r="G50" s="19"/>
      <c r="H50" s="12"/>
      <c r="I50" s="17"/>
      <c r="J50" s="7"/>
      <c r="K50" s="37" t="s">
        <v>10</v>
      </c>
      <c r="L50" s="35" t="s">
        <v>9</v>
      </c>
      <c r="P50" t="s">
        <v>28</v>
      </c>
      <c r="Q50" t="s">
        <v>27</v>
      </c>
      <c r="R50" t="s">
        <v>20</v>
      </c>
    </row>
    <row r="51" spans="1:18" x14ac:dyDescent="0.3">
      <c r="A51" s="8"/>
      <c r="B51" s="10"/>
      <c r="C51" s="10"/>
      <c r="F51" s="3"/>
      <c r="G51" s="7"/>
      <c r="H51" s="4"/>
      <c r="I51" s="1"/>
      <c r="J51" t="s">
        <v>18</v>
      </c>
      <c r="K51" t="s">
        <v>19</v>
      </c>
      <c r="L51" t="s">
        <v>30</v>
      </c>
      <c r="M51" t="s">
        <v>18</v>
      </c>
      <c r="N51" t="s">
        <v>18</v>
      </c>
      <c r="P51" s="18" t="s">
        <v>11</v>
      </c>
      <c r="Q51" t="str" cm="1">
        <f t="array" ref="Q51">REPLACE(Table_6__34[Column1],6,2,"")</f>
        <v>94,08</v>
      </c>
      <c r="R51">
        <f>VALUE(Q51)</f>
        <v>94.08</v>
      </c>
    </row>
    <row r="52" spans="1:18" x14ac:dyDescent="0.3">
      <c r="H52" s="5" t="e" vm="1">
        <f ca="1">SUM(H2:H50)</f>
        <v>#VALUE!</v>
      </c>
      <c r="J52" t="s">
        <v>35</v>
      </c>
      <c r="K52" t="s">
        <v>34</v>
      </c>
      <c r="L52" s="9" t="s">
        <v>38</v>
      </c>
      <c r="M52" s="5" t="s">
        <v>36</v>
      </c>
      <c r="N52" t="s">
        <v>44</v>
      </c>
      <c r="P52" s="18" t="s">
        <v>10</v>
      </c>
      <c r="Q52" s="5" t="str">
        <f>REPLACE(NADAQ_100[[#This Row],[Column2]],8,3,"")</f>
        <v>1209,00</v>
      </c>
      <c r="R52">
        <f>VALUE(Q52)</f>
        <v>1209</v>
      </c>
    </row>
    <row r="53" spans="1:18" x14ac:dyDescent="0.3">
      <c r="A53" s="8"/>
      <c r="B53" s="2"/>
      <c r="C53" s="2"/>
      <c r="F53" s="3"/>
      <c r="G53" s="7"/>
      <c r="H53" s="4"/>
      <c r="I53" s="1"/>
      <c r="L53" s="9"/>
      <c r="M53" s="5" t="s">
        <v>43</v>
      </c>
      <c r="P53" s="11" t="s">
        <v>9</v>
      </c>
      <c r="Q53" t="str" cm="1">
        <f t="array" ref="Q53">REPLACE(Table_7[Column3],7,2,"")</f>
        <v>614,48</v>
      </c>
      <c r="R53">
        <f>VALUE(Q53)</f>
        <v>614.48</v>
      </c>
    </row>
    <row r="54" spans="1:18" x14ac:dyDescent="0.3">
      <c r="A54" s="8"/>
      <c r="B54" s="2"/>
      <c r="C54" s="2"/>
      <c r="F54" s="3"/>
      <c r="G54" s="7"/>
      <c r="H54" s="4"/>
      <c r="I54" s="1"/>
      <c r="M54" s="5" t="s">
        <v>37</v>
      </c>
      <c r="P54" s="18" t="s">
        <v>16</v>
      </c>
      <c r="Q54" s="5" t="e" cm="1" vm="2">
        <f t="array" aca="1" ref="Q54" ca="1">REPLACE(Table_8[Column1],6,3,"")</f>
        <v>#VALUE!</v>
      </c>
      <c r="R54" t="e" vm="1">
        <f ca="1">VALUE(Q54)</f>
        <v>#VALUE!</v>
      </c>
    </row>
    <row r="55" spans="1:18" x14ac:dyDescent="0.3">
      <c r="A55" s="8"/>
      <c r="B55" s="2"/>
      <c r="C55" s="2"/>
      <c r="F55" s="3"/>
      <c r="G55" s="7"/>
      <c r="H55" s="4"/>
      <c r="I55" s="1"/>
      <c r="P55" t="s">
        <v>17</v>
      </c>
      <c r="Q55" t="str" cm="1">
        <f t="array" ref="Q55">REPLACE(Table_6__2[Column1],7,3,"")</f>
        <v>656,41</v>
      </c>
      <c r="R55">
        <f>VALUE(Q55)</f>
        <v>656.41</v>
      </c>
    </row>
    <row r="56" spans="1:18" x14ac:dyDescent="0.3">
      <c r="A56" s="8"/>
      <c r="B56" s="2"/>
      <c r="C56" s="2"/>
      <c r="F56" s="3"/>
      <c r="G56" s="7"/>
      <c r="H56" s="4"/>
      <c r="I56" s="1"/>
    </row>
    <row r="57" spans="1:18" x14ac:dyDescent="0.3">
      <c r="A57" t="s">
        <v>21</v>
      </c>
      <c r="B57" t="s">
        <v>22</v>
      </c>
      <c r="C57" t="s">
        <v>23</v>
      </c>
      <c r="D57" s="5" t="s">
        <v>24</v>
      </c>
      <c r="E57" s="5" t="s">
        <v>25</v>
      </c>
      <c r="F57" s="5" t="s">
        <v>26</v>
      </c>
    </row>
    <row r="58" spans="1:18" x14ac:dyDescent="0.3">
      <c r="A58" t="s">
        <v>17</v>
      </c>
      <c r="B58" s="5">
        <f>SUMIF(Table15[Nazwa Aktywa], Table18[[#This Row],[Asset Name]], Table15[Liczba Jednostek])</f>
        <v>0.9</v>
      </c>
      <c r="C58">
        <f>AVERAGEIF(Table15[Nazwa Aktywa], Table18[[#This Row],[Asset Name]], Table15[Cena Zakupu])</f>
        <v>701.125</v>
      </c>
      <c r="D58" s="5">
        <f>Table18[[#This Row],[Total Units]]*VLOOKUP(Table18[[#This Row],[Asset Name]],Table1[#All],3,FALSE)</f>
        <v>590.76900000000001</v>
      </c>
      <c r="E58" s="5">
        <f>((VLOOKUP(Table18[[#This Row],[Asset Name]],Table1[#All],3,FALSE)- Table18[[#This Row],[Avg. Purchase Price]]) *Table18[[#This Row],[Total Units]])</f>
        <v>-40.243500000000033</v>
      </c>
      <c r="F58" s="31" t="e" vm="1">
        <f ca="1">Table18[[#This Row],[Total Value]]/SUM(Table18[Total Value])</f>
        <v>#VALUE!</v>
      </c>
    </row>
    <row r="59" spans="1:18" x14ac:dyDescent="0.3">
      <c r="A59" s="18" t="s">
        <v>16</v>
      </c>
      <c r="B59" s="5">
        <f>SUMIF(Table15[Nazwa Aktywa], Table18[[#This Row],[Asset Name]], Table15[Liczba Jednostek])</f>
        <v>176.79479999999998</v>
      </c>
      <c r="C59">
        <f>AVERAGEIF(Table15[Nazwa Aktywa], Table18[[#This Row],[Asset Name]], Table15[Cena Zakupu])</f>
        <v>16.388888888888889</v>
      </c>
      <c r="D59" s="5" t="e" vm="1">
        <f ca="1">Table18[[#This Row],[Total Units]]*VLOOKUP(Table18[[#This Row],[Asset Name]],Table1[#All],3,FALSE)</f>
        <v>#VALUE!</v>
      </c>
      <c r="E59" s="5" t="e" vm="1">
        <f ca="1">((VLOOKUP(Table18[[#This Row],[Asset Name]],Table1[#All],3,FALSE)- Table18[[#This Row],[Avg. Purchase Price]]) *Table18[[#This Row],[Total Units]])</f>
        <v>#VALUE!</v>
      </c>
      <c r="F59" s="31" t="e" vm="1">
        <f ca="1">Table18[[#This Row],[Total Value]]/SUM(Table18[Total Value])</f>
        <v>#VALUE!</v>
      </c>
    </row>
    <row r="60" spans="1:18" ht="40.200000000000003" x14ac:dyDescent="0.3">
      <c r="A60" s="18" t="s">
        <v>11</v>
      </c>
      <c r="B60" s="5">
        <f>SUMIF(Table15[Nazwa Aktywa], Table18[[#This Row],[Asset Name]], Table15[Liczba Jednostek])</f>
        <v>9.2844999999999995</v>
      </c>
      <c r="C60">
        <f>AVERAGEIF(Table15[Nazwa Aktywa], Table18[[#This Row],[Asset Name]], Table15[Cena Zakupu])</f>
        <v>83.44846153846153</v>
      </c>
      <c r="D60" s="5">
        <f>Table18[[#This Row],[Total Units]]*VLOOKUP(Table18[[#This Row],[Asset Name]],Table1[#All],3,FALSE)</f>
        <v>873.48575999999991</v>
      </c>
      <c r="E60" s="5">
        <f>((VLOOKUP(Table18[[#This Row],[Asset Name]],Table1[#All],3,FALSE)- Table18[[#This Row],[Avg. Purchase Price]]) *Table18[[#This Row],[Total Units]])</f>
        <v>98.708518846153908</v>
      </c>
      <c r="F60" s="31" t="e" vm="1">
        <f ca="1">Table18[[#This Row],[Total Value]]/SUM(Table18[Total Value])</f>
        <v>#VALUE!</v>
      </c>
    </row>
    <row r="61" spans="1:18" x14ac:dyDescent="0.3">
      <c r="A61" s="18" t="s">
        <v>10</v>
      </c>
      <c r="B61" s="5">
        <f>SUMIF(Table15[Nazwa Aktywa], Table18[[#This Row],[Asset Name]], Table15[Liczba Jednostek])</f>
        <v>0.72840000000000005</v>
      </c>
      <c r="C61">
        <f>AVERAGEIF(Table15[Nazwa Aktywa], Table18[[#This Row],[Asset Name]], Table15[Cena Zakupu])</f>
        <v>1053.8999999999999</v>
      </c>
      <c r="D61" s="5">
        <f>Table18[[#This Row],[Total Units]]*VLOOKUP(Table18[[#This Row],[Asset Name]],Table1[#All],3,FALSE)</f>
        <v>880.63560000000007</v>
      </c>
      <c r="E61" s="5">
        <f>((VLOOKUP(Table18[[#This Row],[Asset Name]],Table1[#All],3,FALSE)- Table18[[#This Row],[Avg. Purchase Price]]) *Table18[[#This Row],[Total Units]])</f>
        <v>112.9748400000001</v>
      </c>
      <c r="F61" s="31" t="e" vm="1">
        <f ca="1">Table18[[#This Row],[Total Value]]/SUM(Table18[Total Value])</f>
        <v>#VALUE!</v>
      </c>
    </row>
    <row r="62" spans="1:18" x14ac:dyDescent="0.3">
      <c r="A62" s="11" t="s">
        <v>9</v>
      </c>
      <c r="B62" s="5">
        <f>SUMIF(Table15[Nazwa Aktywa], Table18[[#This Row],[Asset Name]], Table15[Liczba Jednostek])</f>
        <v>2.7658999999999994</v>
      </c>
      <c r="C62">
        <f>AVERAGEIF(Table15[Nazwa Aktywa], Table18[[#This Row],[Asset Name]], Table15[Cena Zakupu])</f>
        <v>553.37583333333339</v>
      </c>
      <c r="D62" s="5">
        <f>Table18[[#This Row],[Total Units]]*VLOOKUP(Table18[[#This Row],[Asset Name]],Table1[#All],3,FALSE)</f>
        <v>1699.5902319999996</v>
      </c>
      <c r="E62" s="5">
        <f>((VLOOKUP(Table18[[#This Row],[Asset Name]],Table1[#All],3,FALSE)- Table18[[#This Row],[Avg. Purchase Price]]) *Table18[[#This Row],[Total Units]])</f>
        <v>169.00801458333319</v>
      </c>
      <c r="F62" s="31" t="e" vm="1">
        <f ca="1">Table18[[#This Row],[Total Value]]/SUM(Table18[Total Value])</f>
        <v>#VALUE!</v>
      </c>
    </row>
    <row r="65" spans="1:3" x14ac:dyDescent="0.3">
      <c r="A65" t="s">
        <v>31</v>
      </c>
      <c r="B65" t="s">
        <v>32</v>
      </c>
      <c r="C65" t="s">
        <v>33</v>
      </c>
    </row>
    <row r="66" spans="1:3" x14ac:dyDescent="0.3">
      <c r="A66" s="38" t="e" vm="1">
        <f ca="1">SUM(F60:F62)</f>
        <v>#VALUE!</v>
      </c>
      <c r="B66" s="38" t="e" vm="1">
        <f ca="1">SUM(F59)</f>
        <v>#VALUE!</v>
      </c>
      <c r="C66" s="38" t="e" vm="1">
        <f ca="1">SUM(F58)</f>
        <v>#VALUE!</v>
      </c>
    </row>
  </sheetData>
  <phoneticPr fontId="4" type="noConversion"/>
  <pageMargins left="0.7" right="0.7" top="0.75" bottom="0.75" header="0.3" footer="0.3"/>
  <drawing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78BC-4ADB-44C9-9C4D-B8C6C27BD8EA}">
  <sheetPr codeName="Sheet2"/>
  <dimension ref="A1:G22"/>
  <sheetViews>
    <sheetView tabSelected="1" workbookViewId="0">
      <selection activeCell="G13" sqref="G13"/>
    </sheetView>
  </sheetViews>
  <sheetFormatPr defaultRowHeight="14.4" x14ac:dyDescent="0.3"/>
  <cols>
    <col min="1" max="1" width="10.109375" bestFit="1" customWidth="1"/>
    <col min="2" max="2" width="12.33203125" customWidth="1"/>
    <col min="3" max="3" width="14.88671875" customWidth="1"/>
    <col min="4" max="4" width="14.109375" customWidth="1"/>
    <col min="5" max="5" width="28.6640625" customWidth="1"/>
    <col min="6" max="6" width="13.88671875" customWidth="1"/>
    <col min="7" max="7" width="14.6640625" customWidth="1"/>
  </cols>
  <sheetData>
    <row r="1" spans="1:7" ht="53.4" x14ac:dyDescent="0.3">
      <c r="A1" t="s">
        <v>29</v>
      </c>
      <c r="B1" t="s">
        <v>24</v>
      </c>
      <c r="C1" s="32" t="s">
        <v>17</v>
      </c>
      <c r="D1" s="33" t="s">
        <v>16</v>
      </c>
      <c r="E1" s="34" t="s">
        <v>11</v>
      </c>
      <c r="F1" s="33" t="s">
        <v>10</v>
      </c>
      <c r="G1" s="35" t="s">
        <v>9</v>
      </c>
    </row>
    <row r="2" spans="1:7" x14ac:dyDescent="0.3">
      <c r="A2" s="36">
        <v>45702</v>
      </c>
      <c r="B2" s="5" cm="1">
        <f t="array" ref="B2">SUM(C2:G2)*Table_7__48[Column1]</f>
        <v>31763.670656408904</v>
      </c>
      <c r="C2">
        <v>1392.9930000000002</v>
      </c>
      <c r="D2">
        <v>3171.6987119999999</v>
      </c>
      <c r="E2">
        <v>862.43720499999995</v>
      </c>
      <c r="F2">
        <v>874.95408000000009</v>
      </c>
      <c r="G2">
        <v>1694.6116119999995</v>
      </c>
    </row>
    <row r="3" spans="1:7" x14ac:dyDescent="0.3">
      <c r="A3" s="36">
        <v>45703</v>
      </c>
      <c r="B3" s="5" cm="1">
        <f t="array" ref="B3">SUM(C3:G3)*Table_7__48[Column1]</f>
        <v>31719.628011608904</v>
      </c>
      <c r="C3">
        <v>1381.905</v>
      </c>
      <c r="D3">
        <v>3171.6987119999999</v>
      </c>
      <c r="E3">
        <v>862.43720499999995</v>
      </c>
      <c r="F3">
        <v>874.95408000000009</v>
      </c>
      <c r="G3">
        <v>1694.6116119999995</v>
      </c>
    </row>
    <row r="4" spans="1:7" x14ac:dyDescent="0.3">
      <c r="A4" s="36">
        <v>45705</v>
      </c>
      <c r="B4" s="5" cm="1">
        <f t="array" ref="B4">SUM(C4:G4)*Table_7__48[Column1]</f>
        <v>31719.628011608904</v>
      </c>
      <c r="C4">
        <v>1381.905</v>
      </c>
      <c r="D4">
        <v>3171.6987119999999</v>
      </c>
      <c r="E4">
        <v>862.43720499999995</v>
      </c>
      <c r="F4">
        <v>874.95408000000009</v>
      </c>
      <c r="G4">
        <v>1694.6116119999995</v>
      </c>
    </row>
    <row r="5" spans="1:7" x14ac:dyDescent="0.3">
      <c r="A5" s="36">
        <v>45705</v>
      </c>
      <c r="B5" s="5" cm="1">
        <f t="array" ref="B5">SUM(C5:G5)*Table_7__48[Column1]</f>
        <v>31873.693854308905</v>
      </c>
      <c r="C5">
        <v>1420.692</v>
      </c>
      <c r="D5">
        <v>3171.6987119999999</v>
      </c>
      <c r="E5">
        <v>862.43720499999995</v>
      </c>
      <c r="F5">
        <v>874.95408000000009</v>
      </c>
      <c r="G5">
        <v>1694.6116119999995</v>
      </c>
    </row>
    <row r="6" spans="1:7" x14ac:dyDescent="0.3">
      <c r="A6" s="36">
        <v>45705</v>
      </c>
      <c r="B6" s="5" cm="1">
        <f t="array" ref="B6">SUM(C6:G6)*Table_7__48[Column1]</f>
        <v>31873.896113640902</v>
      </c>
      <c r="C6">
        <v>1406.4540000000002</v>
      </c>
      <c r="D6">
        <v>3171.6987119999999</v>
      </c>
      <c r="E6">
        <v>870.60756499999991</v>
      </c>
      <c r="F6">
        <v>881.07263999999998</v>
      </c>
      <c r="G6">
        <v>1694.6116119999995</v>
      </c>
    </row>
    <row r="7" spans="1:7" x14ac:dyDescent="0.3">
      <c r="A7" s="36">
        <v>45706</v>
      </c>
      <c r="B7" s="5" cm="1">
        <f t="array" ref="B7">SUM(C7:G7)*Table_7__48[Column1]</f>
        <v>31985.188758951997</v>
      </c>
      <c r="C7">
        <v>1352.7990000000002</v>
      </c>
      <c r="D7">
        <v>3245.9525279999993</v>
      </c>
      <c r="E7">
        <v>873.48575999999991</v>
      </c>
      <c r="F7">
        <v>880.63560000000007</v>
      </c>
      <c r="G7">
        <v>1699.5902319999996</v>
      </c>
    </row>
    <row r="8" spans="1:7" x14ac:dyDescent="0.3">
      <c r="A8" s="36">
        <v>45706</v>
      </c>
      <c r="B8" s="5" cm="1">
        <f t="array" ref="B8">SUM(C8:G8)*Table_7__48[Column1]</f>
        <v>28914.644240152</v>
      </c>
      <c r="C8">
        <v>579.77100000000007</v>
      </c>
      <c r="D8">
        <v>3245.9525279999993</v>
      </c>
      <c r="E8">
        <v>873.48575999999991</v>
      </c>
      <c r="F8">
        <v>880.63560000000007</v>
      </c>
      <c r="G8">
        <v>1699.5902319999996</v>
      </c>
    </row>
    <row r="9" spans="1:7" x14ac:dyDescent="0.3">
      <c r="A9" s="36">
        <v>45706</v>
      </c>
      <c r="B9" s="5" cm="1">
        <f t="array" ref="B9">SUM(C9:G9)*Table_7__48[Column1]</f>
        <v>28914.644240152</v>
      </c>
      <c r="C9">
        <v>579.77100000000007</v>
      </c>
      <c r="D9">
        <v>3245.9525279999993</v>
      </c>
      <c r="E9">
        <v>873.48575999999991</v>
      </c>
      <c r="F9">
        <v>880.63560000000007</v>
      </c>
      <c r="G9">
        <v>1699.5902319999996</v>
      </c>
    </row>
    <row r="10" spans="1:7" x14ac:dyDescent="0.3">
      <c r="A10" s="36">
        <v>45706</v>
      </c>
      <c r="B10" s="5">
        <v>28914.644240152</v>
      </c>
      <c r="C10">
        <v>579.77100000000007</v>
      </c>
      <c r="D10">
        <v>3245.9525279999993</v>
      </c>
      <c r="E10">
        <v>873.48575999999991</v>
      </c>
      <c r="F10">
        <v>880.63560000000007</v>
      </c>
      <c r="G10">
        <v>1699.5902319999996</v>
      </c>
    </row>
    <row r="11" spans="1:7" x14ac:dyDescent="0.3">
      <c r="A11" s="36"/>
    </row>
    <row r="12" spans="1:7" x14ac:dyDescent="0.3">
      <c r="A12" s="36"/>
    </row>
    <row r="13" spans="1:7" x14ac:dyDescent="0.3">
      <c r="A13" s="36"/>
    </row>
    <row r="14" spans="1:7" x14ac:dyDescent="0.3">
      <c r="A14" s="36"/>
    </row>
    <row r="15" spans="1:7" x14ac:dyDescent="0.3">
      <c r="A15" s="36"/>
    </row>
    <row r="16" spans="1:7" x14ac:dyDescent="0.3">
      <c r="A16" s="36"/>
    </row>
    <row r="17" spans="1:1" x14ac:dyDescent="0.3">
      <c r="A17" s="36"/>
    </row>
    <row r="18" spans="1:1" x14ac:dyDescent="0.3">
      <c r="A18" s="36"/>
    </row>
    <row r="19" spans="1:1" x14ac:dyDescent="0.3">
      <c r="A19" s="36"/>
    </row>
    <row r="20" spans="1:1" x14ac:dyDescent="0.3">
      <c r="A20" s="36"/>
    </row>
    <row r="21" spans="1:1" x14ac:dyDescent="0.3">
      <c r="A21" s="36"/>
    </row>
    <row r="22" spans="1:1" x14ac:dyDescent="0.3">
      <c r="A22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vePortfolioData">
                <anchor moveWithCells="1" sizeWithCells="1">
                  <from>
                    <xdr:col>9</xdr:col>
                    <xdr:colOff>251460</xdr:colOff>
                    <xdr:row>0</xdr:row>
                    <xdr:rowOff>518160</xdr:rowOff>
                  </from>
                  <to>
                    <xdr:col>13</xdr:col>
                    <xdr:colOff>563880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B758F-3A88-4AB8-87DF-8DC67F7C289F}">
  <sheetPr codeName="Sheet3"/>
  <dimension ref="A1"/>
  <sheetViews>
    <sheetView workbookViewId="0"/>
  </sheetViews>
  <sheetFormatPr defaultRowHeight="14.4" x14ac:dyDescent="0.3"/>
  <cols>
    <col min="1" max="1" width="10.777343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10D66-89C2-4AF5-9D9F-F64558ED7C79}">
  <sheetPr codeName="Sheet4"/>
  <dimension ref="A1:I51"/>
  <sheetViews>
    <sheetView topLeftCell="A7" workbookViewId="0">
      <selection sqref="A1:I51"/>
    </sheetView>
  </sheetViews>
  <sheetFormatPr defaultRowHeight="14.4" x14ac:dyDescent="0.3"/>
  <cols>
    <col min="1" max="1" width="15.21875" bestFit="1" customWidth="1"/>
    <col min="2" max="2" width="26.21875" bestFit="1" customWidth="1"/>
    <col min="3" max="3" width="14.109375" bestFit="1" customWidth="1"/>
    <col min="4" max="4" width="17.33203125" bestFit="1" customWidth="1"/>
    <col min="5" max="5" width="14.21875" bestFit="1" customWidth="1"/>
    <col min="6" max="6" width="19.109375" bestFit="1" customWidth="1"/>
    <col min="7" max="7" width="27.21875" bestFit="1" customWidth="1"/>
    <col min="8" max="8" width="24.77734375" bestFit="1" customWidth="1"/>
    <col min="9" max="9" width="17.21875" bestFit="1" customWidth="1"/>
  </cols>
  <sheetData>
    <row r="1" spans="1:9" x14ac:dyDescent="0.3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s="28">
        <v>45366</v>
      </c>
      <c r="B2" t="s">
        <v>9</v>
      </c>
      <c r="C2" t="s">
        <v>12</v>
      </c>
      <c r="D2">
        <v>0.31580000000000003</v>
      </c>
      <c r="E2">
        <v>493.7</v>
      </c>
      <c r="F2">
        <v>155.91046</v>
      </c>
      <c r="G2">
        <v>612.67999999999995</v>
      </c>
      <c r="H2">
        <v>193.48434399999999</v>
      </c>
      <c r="I2">
        <v>2.4112020599661489E-2</v>
      </c>
    </row>
    <row r="3" spans="1:9" x14ac:dyDescent="0.3">
      <c r="A3" s="28">
        <v>45366</v>
      </c>
      <c r="B3" t="s">
        <v>10</v>
      </c>
      <c r="C3" t="s">
        <v>13</v>
      </c>
      <c r="D3">
        <v>8.3599999999999994E-2</v>
      </c>
      <c r="E3">
        <v>932.3</v>
      </c>
      <c r="F3">
        <v>77.940279999999987</v>
      </c>
      <c r="G3">
        <v>1201.2</v>
      </c>
      <c r="H3">
        <v>100.42031999999999</v>
      </c>
      <c r="I3">
        <v>1.2514381134964586E-2</v>
      </c>
    </row>
    <row r="4" spans="1:9" x14ac:dyDescent="0.3">
      <c r="A4" s="28">
        <v>45366</v>
      </c>
      <c r="B4" t="s">
        <v>11</v>
      </c>
      <c r="C4" t="s">
        <v>14</v>
      </c>
      <c r="D4">
        <v>1.0714999999999999</v>
      </c>
      <c r="E4">
        <v>72.760000000000005</v>
      </c>
      <c r="F4">
        <v>77.962339999999998</v>
      </c>
      <c r="G4">
        <v>92.89</v>
      </c>
      <c r="H4">
        <v>99.531634999999994</v>
      </c>
      <c r="I4">
        <v>1.2403633202684287E-2</v>
      </c>
    </row>
    <row r="5" spans="1:9" x14ac:dyDescent="0.3">
      <c r="A5" s="28">
        <v>45369</v>
      </c>
      <c r="B5" t="s">
        <v>9</v>
      </c>
      <c r="C5" t="s">
        <v>12</v>
      </c>
      <c r="D5">
        <v>0.22800000000000001</v>
      </c>
      <c r="E5">
        <v>499.39</v>
      </c>
      <c r="F5">
        <v>113.86092000000001</v>
      </c>
      <c r="G5">
        <v>612.67999999999995</v>
      </c>
      <c r="H5">
        <v>139.69103999999999</v>
      </c>
      <c r="I5">
        <v>1.7408298596335716E-2</v>
      </c>
    </row>
    <row r="6" spans="1:9" x14ac:dyDescent="0.3">
      <c r="A6" s="28">
        <v>45369</v>
      </c>
      <c r="B6" t="s">
        <v>10</v>
      </c>
      <c r="C6" t="s">
        <v>13</v>
      </c>
      <c r="D6">
        <v>6.0100000000000001E-2</v>
      </c>
      <c r="E6">
        <v>946.4</v>
      </c>
      <c r="F6">
        <v>56.878639999999997</v>
      </c>
      <c r="G6">
        <v>1201.2</v>
      </c>
      <c r="H6">
        <v>72.192120000000003</v>
      </c>
      <c r="I6">
        <v>8.9965826101838717E-3</v>
      </c>
    </row>
    <row r="7" spans="1:9" x14ac:dyDescent="0.3">
      <c r="A7" s="28">
        <v>45369</v>
      </c>
      <c r="B7" t="s">
        <v>11</v>
      </c>
      <c r="C7" t="s">
        <v>14</v>
      </c>
      <c r="D7">
        <v>0.77390000000000003</v>
      </c>
      <c r="E7">
        <v>73.569999999999993</v>
      </c>
      <c r="F7">
        <v>56.935822999999999</v>
      </c>
      <c r="G7">
        <v>92.89</v>
      </c>
      <c r="H7">
        <v>71.887571000000008</v>
      </c>
      <c r="I7">
        <v>8.9586297112061331E-3</v>
      </c>
    </row>
    <row r="8" spans="1:9" x14ac:dyDescent="0.3">
      <c r="A8" s="28">
        <v>45401</v>
      </c>
      <c r="B8" t="s">
        <v>9</v>
      </c>
      <c r="C8" t="s">
        <v>12</v>
      </c>
      <c r="D8">
        <v>0.23780000000000001</v>
      </c>
      <c r="E8">
        <v>492.96</v>
      </c>
      <c r="F8">
        <v>117.225888</v>
      </c>
      <c r="G8">
        <v>612.67999999999995</v>
      </c>
      <c r="H8">
        <v>145.69530399999999</v>
      </c>
      <c r="I8">
        <v>1.815655002723085E-2</v>
      </c>
    </row>
    <row r="9" spans="1:9" x14ac:dyDescent="0.3">
      <c r="A9" s="28">
        <v>45401</v>
      </c>
      <c r="B9" t="s">
        <v>10</v>
      </c>
      <c r="C9" t="s">
        <v>13</v>
      </c>
      <c r="D9">
        <v>6.3700000000000007E-2</v>
      </c>
      <c r="E9">
        <v>919.2</v>
      </c>
      <c r="F9">
        <v>58.55304000000001</v>
      </c>
      <c r="G9">
        <v>1201.2</v>
      </c>
      <c r="H9">
        <v>76.516440000000017</v>
      </c>
      <c r="I9">
        <v>9.5354794054694301E-3</v>
      </c>
    </row>
    <row r="10" spans="1:9" x14ac:dyDescent="0.3">
      <c r="A10" s="28">
        <v>45401</v>
      </c>
      <c r="B10" t="s">
        <v>11</v>
      </c>
      <c r="C10" t="s">
        <v>14</v>
      </c>
      <c r="D10">
        <v>0.83499999999999996</v>
      </c>
      <c r="E10">
        <v>70.19</v>
      </c>
      <c r="F10">
        <v>58.608649999999997</v>
      </c>
      <c r="G10">
        <v>92.89</v>
      </c>
      <c r="H10">
        <v>77.563149999999993</v>
      </c>
      <c r="I10">
        <v>9.6659204145976476E-3</v>
      </c>
    </row>
    <row r="11" spans="1:9" x14ac:dyDescent="0.3">
      <c r="A11" s="28">
        <v>45426</v>
      </c>
      <c r="B11" t="s">
        <v>9</v>
      </c>
      <c r="C11" t="s">
        <v>12</v>
      </c>
      <c r="D11">
        <v>0.22650000000000001</v>
      </c>
      <c r="E11">
        <v>508.62</v>
      </c>
      <c r="F11">
        <v>115.20243000000001</v>
      </c>
      <c r="G11">
        <v>612.67999999999995</v>
      </c>
      <c r="H11">
        <v>138.77202</v>
      </c>
      <c r="I11">
        <v>1.7293770316096666E-2</v>
      </c>
    </row>
    <row r="12" spans="1:9" x14ac:dyDescent="0.3">
      <c r="A12" s="28">
        <v>45426</v>
      </c>
      <c r="B12" t="s">
        <v>10</v>
      </c>
      <c r="C12" t="s">
        <v>13</v>
      </c>
      <c r="D12">
        <v>0.06</v>
      </c>
      <c r="E12">
        <v>959.3</v>
      </c>
      <c r="F12">
        <v>57.557999999999993</v>
      </c>
      <c r="G12">
        <v>1201.2</v>
      </c>
      <c r="H12">
        <v>72.072000000000003</v>
      </c>
      <c r="I12">
        <v>8.9816132547592738E-3</v>
      </c>
    </row>
    <row r="13" spans="1:9" x14ac:dyDescent="0.3">
      <c r="A13" s="28">
        <v>45426</v>
      </c>
      <c r="B13" t="s">
        <v>11</v>
      </c>
      <c r="C13" t="s">
        <v>14</v>
      </c>
      <c r="D13">
        <v>0.78349999999999997</v>
      </c>
      <c r="E13">
        <v>73.52</v>
      </c>
      <c r="F13">
        <v>57.602919999999997</v>
      </c>
      <c r="G13">
        <v>92.89</v>
      </c>
      <c r="H13">
        <v>72.779314999999997</v>
      </c>
      <c r="I13">
        <v>9.0697588560925239E-3</v>
      </c>
    </row>
    <row r="14" spans="1:9" x14ac:dyDescent="0.3">
      <c r="A14" s="28">
        <v>45450</v>
      </c>
      <c r="B14" t="s">
        <v>9</v>
      </c>
      <c r="C14" t="s">
        <v>12</v>
      </c>
      <c r="D14">
        <v>0.1094</v>
      </c>
      <c r="E14">
        <v>522.79</v>
      </c>
      <c r="F14">
        <v>57.193225999999996</v>
      </c>
      <c r="G14">
        <v>612.67999999999995</v>
      </c>
      <c r="H14">
        <v>67.027191999999999</v>
      </c>
      <c r="I14">
        <v>8.3529292387681028E-3</v>
      </c>
    </row>
    <row r="15" spans="1:9" x14ac:dyDescent="0.3">
      <c r="A15" s="28">
        <v>45450</v>
      </c>
      <c r="B15" t="s">
        <v>10</v>
      </c>
      <c r="C15" t="s">
        <v>13</v>
      </c>
      <c r="D15">
        <v>2.8400000000000002E-2</v>
      </c>
      <c r="E15">
        <v>1005.2</v>
      </c>
      <c r="F15">
        <v>28.547680000000003</v>
      </c>
      <c r="G15">
        <v>1201.2</v>
      </c>
      <c r="H15">
        <v>34.114080000000001</v>
      </c>
      <c r="I15">
        <v>4.251296940586056E-3</v>
      </c>
    </row>
    <row r="16" spans="1:9" x14ac:dyDescent="0.3">
      <c r="A16" s="28">
        <v>45450</v>
      </c>
      <c r="B16" t="s">
        <v>11</v>
      </c>
      <c r="C16" t="s">
        <v>14</v>
      </c>
      <c r="D16">
        <v>0.3619</v>
      </c>
      <c r="E16">
        <v>79.010000000000005</v>
      </c>
      <c r="F16">
        <v>28.593719</v>
      </c>
      <c r="G16">
        <v>92.89</v>
      </c>
      <c r="H16">
        <v>33.616891000000003</v>
      </c>
      <c r="I16">
        <v>4.1893372431651369E-3</v>
      </c>
    </row>
    <row r="17" spans="1:9" x14ac:dyDescent="0.3">
      <c r="A17" s="28">
        <v>45483</v>
      </c>
      <c r="B17" t="s">
        <v>9</v>
      </c>
      <c r="C17" t="s">
        <v>12</v>
      </c>
      <c r="D17">
        <v>0.1197</v>
      </c>
      <c r="E17">
        <v>544.73</v>
      </c>
      <c r="F17">
        <v>65.204181000000005</v>
      </c>
      <c r="G17">
        <v>612.67999999999995</v>
      </c>
      <c r="H17">
        <v>73.337795999999997</v>
      </c>
      <c r="I17">
        <v>9.139356763076251E-3</v>
      </c>
    </row>
    <row r="18" spans="1:9" x14ac:dyDescent="0.3">
      <c r="A18" s="28">
        <v>45483</v>
      </c>
      <c r="B18" t="s">
        <v>10</v>
      </c>
      <c r="C18" t="s">
        <v>13</v>
      </c>
      <c r="D18">
        <v>3.0099999999999998E-2</v>
      </c>
      <c r="E18">
        <v>1082.5999999999999</v>
      </c>
      <c r="F18">
        <v>32.586259999999996</v>
      </c>
      <c r="G18">
        <v>1201.2</v>
      </c>
      <c r="H18">
        <v>36.156120000000001</v>
      </c>
      <c r="I18">
        <v>4.5057759828042356E-3</v>
      </c>
    </row>
    <row r="19" spans="1:9" x14ac:dyDescent="0.3">
      <c r="A19" s="28">
        <v>45483</v>
      </c>
      <c r="B19" t="s">
        <v>11</v>
      </c>
      <c r="C19" t="s">
        <v>14</v>
      </c>
      <c r="D19">
        <v>0.37519999999999998</v>
      </c>
      <c r="E19">
        <v>86.93</v>
      </c>
      <c r="F19">
        <v>32.616135999999997</v>
      </c>
      <c r="G19">
        <v>92.89</v>
      </c>
      <c r="H19">
        <v>34.852328</v>
      </c>
      <c r="I19">
        <v>4.3432974126431587E-3</v>
      </c>
    </row>
    <row r="20" spans="1:9" x14ac:dyDescent="0.3">
      <c r="A20" s="28">
        <v>45566</v>
      </c>
      <c r="B20" t="s">
        <v>9</v>
      </c>
      <c r="C20" t="s">
        <v>12</v>
      </c>
      <c r="D20">
        <v>0.26950000000000002</v>
      </c>
      <c r="E20">
        <v>549.64</v>
      </c>
      <c r="F20">
        <v>148.12798000000001</v>
      </c>
      <c r="G20">
        <v>612.67999999999995</v>
      </c>
      <c r="H20">
        <v>165.11725999999999</v>
      </c>
      <c r="I20">
        <v>2.0576914349616122E-2</v>
      </c>
    </row>
    <row r="21" spans="1:9" x14ac:dyDescent="0.3">
      <c r="A21" s="28">
        <v>45566</v>
      </c>
      <c r="B21" t="s">
        <v>10</v>
      </c>
      <c r="C21" t="s">
        <v>13</v>
      </c>
      <c r="D21">
        <v>7.1499999999999994E-2</v>
      </c>
      <c r="E21">
        <v>1034.8</v>
      </c>
      <c r="F21">
        <v>73.988199999999992</v>
      </c>
      <c r="G21">
        <v>1201.2</v>
      </c>
      <c r="H21">
        <v>85.885800000000003</v>
      </c>
      <c r="I21">
        <v>1.0703089128588134E-2</v>
      </c>
    </row>
    <row r="22" spans="1:9" x14ac:dyDescent="0.3">
      <c r="A22" s="28">
        <v>45566</v>
      </c>
      <c r="B22" t="s">
        <v>11</v>
      </c>
      <c r="C22" t="s">
        <v>14</v>
      </c>
      <c r="D22">
        <v>0.9022</v>
      </c>
      <c r="E22">
        <v>82.1</v>
      </c>
      <c r="F22">
        <v>74.070619999999991</v>
      </c>
      <c r="G22">
        <v>92.89</v>
      </c>
      <c r="H22">
        <v>83.805357999999998</v>
      </c>
      <c r="I22">
        <v>1.0443824428802394E-2</v>
      </c>
    </row>
    <row r="23" spans="1:9" x14ac:dyDescent="0.3">
      <c r="A23" s="28">
        <v>45604</v>
      </c>
      <c r="B23" t="s">
        <v>9</v>
      </c>
      <c r="C23" t="s">
        <v>12</v>
      </c>
      <c r="D23">
        <v>0.2878</v>
      </c>
      <c r="E23">
        <v>591.67999999999995</v>
      </c>
      <c r="F23">
        <v>170.28550399999997</v>
      </c>
      <c r="G23">
        <v>612.67999999999995</v>
      </c>
      <c r="H23">
        <v>176.32930399999998</v>
      </c>
      <c r="I23">
        <v>2.1974159368532538E-2</v>
      </c>
    </row>
    <row r="24" spans="1:9" x14ac:dyDescent="0.3">
      <c r="A24" s="28">
        <v>45604</v>
      </c>
      <c r="B24" t="s">
        <v>10</v>
      </c>
      <c r="C24" t="s">
        <v>13</v>
      </c>
      <c r="D24">
        <v>7.5700000000000003E-2</v>
      </c>
      <c r="E24">
        <v>1124</v>
      </c>
      <c r="F24">
        <v>85.086800000000011</v>
      </c>
      <c r="G24">
        <v>1201.2</v>
      </c>
      <c r="H24">
        <v>90.930840000000003</v>
      </c>
      <c r="I24">
        <v>1.1331802056421285E-2</v>
      </c>
    </row>
    <row r="25" spans="1:9" x14ac:dyDescent="0.3">
      <c r="A25" s="28">
        <v>45604</v>
      </c>
      <c r="B25" t="s">
        <v>11</v>
      </c>
      <c r="C25" t="s">
        <v>14</v>
      </c>
      <c r="D25">
        <v>0.96089999999999998</v>
      </c>
      <c r="E25">
        <v>88.62</v>
      </c>
      <c r="F25">
        <v>85.154958000000008</v>
      </c>
      <c r="G25">
        <v>92.89</v>
      </c>
      <c r="H25">
        <v>89.258000999999993</v>
      </c>
      <c r="I25">
        <v>1.1123332845972311E-2</v>
      </c>
    </row>
    <row r="26" spans="1:9" x14ac:dyDescent="0.3">
      <c r="A26" s="28">
        <v>45622</v>
      </c>
      <c r="B26" t="s">
        <v>9</v>
      </c>
      <c r="C26" t="s">
        <v>12</v>
      </c>
      <c r="D26">
        <v>0.309</v>
      </c>
      <c r="E26">
        <v>607.82000000000005</v>
      </c>
      <c r="F26">
        <v>187.81638000000001</v>
      </c>
      <c r="G26">
        <v>612.67999999999995</v>
      </c>
      <c r="H26">
        <v>189.31811999999999</v>
      </c>
      <c r="I26">
        <v>2.3592825729244458E-2</v>
      </c>
    </row>
    <row r="27" spans="1:9" x14ac:dyDescent="0.3">
      <c r="A27" s="28">
        <v>45622</v>
      </c>
      <c r="B27" t="s">
        <v>10</v>
      </c>
      <c r="C27" t="s">
        <v>13</v>
      </c>
      <c r="D27">
        <v>8.2299999999999998E-2</v>
      </c>
      <c r="E27">
        <v>1140</v>
      </c>
      <c r="F27">
        <v>93.822000000000003</v>
      </c>
      <c r="G27">
        <v>1201.2</v>
      </c>
      <c r="H27">
        <v>98.858760000000004</v>
      </c>
      <c r="I27">
        <v>1.2319779514444804E-2</v>
      </c>
    </row>
    <row r="28" spans="1:9" x14ac:dyDescent="0.3">
      <c r="A28" s="28">
        <v>45622</v>
      </c>
      <c r="B28" t="s">
        <v>11</v>
      </c>
      <c r="C28" t="s">
        <v>14</v>
      </c>
      <c r="D28">
        <v>1</v>
      </c>
      <c r="E28">
        <v>89.77</v>
      </c>
      <c r="F28">
        <v>89.77</v>
      </c>
      <c r="G28">
        <v>92.89</v>
      </c>
      <c r="H28">
        <v>92.89</v>
      </c>
      <c r="I28">
        <v>1.1575952592332513E-2</v>
      </c>
    </row>
    <row r="29" spans="1:9" x14ac:dyDescent="0.3">
      <c r="A29" s="28">
        <v>45622</v>
      </c>
      <c r="B29" t="s">
        <v>11</v>
      </c>
      <c r="C29" t="s">
        <v>14</v>
      </c>
      <c r="D29">
        <v>4.1599999999999998E-2</v>
      </c>
      <c r="E29">
        <v>90.17</v>
      </c>
      <c r="F29">
        <v>3.7510719999999997</v>
      </c>
      <c r="G29">
        <v>92.89</v>
      </c>
      <c r="H29">
        <v>3.8642239999999997</v>
      </c>
      <c r="I29">
        <v>4.8155962784103253E-4</v>
      </c>
    </row>
    <row r="30" spans="1:9" x14ac:dyDescent="0.3">
      <c r="A30" s="28">
        <v>45631</v>
      </c>
      <c r="B30" t="s">
        <v>9</v>
      </c>
      <c r="C30" t="s">
        <v>12</v>
      </c>
      <c r="D30">
        <v>0.28399999999999997</v>
      </c>
      <c r="E30">
        <v>610.16</v>
      </c>
      <c r="F30">
        <v>173.28543999999997</v>
      </c>
      <c r="G30">
        <v>612.67999999999995</v>
      </c>
      <c r="H30">
        <v>174.00111999999996</v>
      </c>
      <c r="I30">
        <v>2.1684021058593607E-2</v>
      </c>
    </row>
    <row r="31" spans="1:9" x14ac:dyDescent="0.3">
      <c r="A31" s="28">
        <v>45631</v>
      </c>
      <c r="B31" t="s">
        <v>10</v>
      </c>
      <c r="C31" t="s">
        <v>13</v>
      </c>
      <c r="D31">
        <v>7.4499999999999997E-2</v>
      </c>
      <c r="E31">
        <v>1162</v>
      </c>
      <c r="F31">
        <v>86.569000000000003</v>
      </c>
      <c r="G31">
        <v>1201.2</v>
      </c>
      <c r="H31">
        <v>89.489400000000003</v>
      </c>
      <c r="I31">
        <v>1.1152169791326098E-2</v>
      </c>
    </row>
    <row r="32" spans="1:9" x14ac:dyDescent="0.3">
      <c r="A32" s="28">
        <v>45631</v>
      </c>
      <c r="B32" t="s">
        <v>11</v>
      </c>
      <c r="C32" t="s">
        <v>14</v>
      </c>
      <c r="D32">
        <v>0.93579999999999997</v>
      </c>
      <c r="E32">
        <v>92.6</v>
      </c>
      <c r="F32">
        <v>86.655079999999998</v>
      </c>
      <c r="G32">
        <v>92.89</v>
      </c>
      <c r="H32">
        <v>86.926462000000001</v>
      </c>
      <c r="I32">
        <v>1.0832776435904766E-2</v>
      </c>
    </row>
    <row r="33" spans="1:9" x14ac:dyDescent="0.3">
      <c r="A33" s="28">
        <v>45997</v>
      </c>
      <c r="B33" t="s">
        <v>9</v>
      </c>
      <c r="C33" t="s">
        <v>12</v>
      </c>
      <c r="D33">
        <v>0.18890000000000001</v>
      </c>
      <c r="E33">
        <v>610.67999999999995</v>
      </c>
      <c r="F33">
        <v>115.35745199999999</v>
      </c>
      <c r="G33">
        <v>612.67999999999995</v>
      </c>
      <c r="H33">
        <v>115.735252</v>
      </c>
      <c r="I33">
        <v>1.4422928091437795E-2</v>
      </c>
    </row>
    <row r="34" spans="1:9" x14ac:dyDescent="0.3">
      <c r="A34" s="28">
        <v>45997</v>
      </c>
      <c r="B34" t="s">
        <v>10</v>
      </c>
      <c r="C34" t="s">
        <v>13</v>
      </c>
      <c r="D34">
        <v>4.9399999999999999E-2</v>
      </c>
      <c r="E34">
        <v>1167</v>
      </c>
      <c r="F34">
        <v>57.649799999999999</v>
      </c>
      <c r="G34">
        <v>1201.2</v>
      </c>
      <c r="H34">
        <v>59.339280000000002</v>
      </c>
      <c r="I34">
        <v>7.3948615797518021E-3</v>
      </c>
    </row>
    <row r="35" spans="1:9" x14ac:dyDescent="0.3">
      <c r="A35" s="28">
        <v>45997</v>
      </c>
      <c r="B35" t="s">
        <v>11</v>
      </c>
      <c r="C35" t="s">
        <v>14</v>
      </c>
      <c r="D35">
        <v>0.62239999999999995</v>
      </c>
      <c r="E35">
        <v>92.69</v>
      </c>
      <c r="F35">
        <v>57.690255999999991</v>
      </c>
      <c r="G35">
        <v>92.89</v>
      </c>
      <c r="H35">
        <v>57.814735999999996</v>
      </c>
      <c r="I35">
        <v>7.2048728934677557E-3</v>
      </c>
    </row>
    <row r="36" spans="1:9" x14ac:dyDescent="0.3">
      <c r="A36" s="28">
        <v>45666</v>
      </c>
      <c r="B36" t="s">
        <v>9</v>
      </c>
      <c r="C36" t="s">
        <v>12</v>
      </c>
      <c r="D36">
        <v>0.1895</v>
      </c>
      <c r="E36">
        <v>608.34</v>
      </c>
      <c r="F36">
        <v>115.28043000000001</v>
      </c>
      <c r="G36">
        <v>612.67999999999995</v>
      </c>
      <c r="H36">
        <v>116.10285999999999</v>
      </c>
      <c r="I36">
        <v>1.4468739403533413E-2</v>
      </c>
    </row>
    <row r="37" spans="1:9" x14ac:dyDescent="0.3">
      <c r="A37" s="28">
        <v>45666</v>
      </c>
      <c r="B37" t="s">
        <v>10</v>
      </c>
      <c r="C37" t="s">
        <v>13</v>
      </c>
      <c r="D37">
        <v>4.9099999999999998E-2</v>
      </c>
      <c r="E37">
        <v>1174</v>
      </c>
      <c r="F37">
        <v>57.6434</v>
      </c>
      <c r="G37">
        <v>1201.2</v>
      </c>
      <c r="H37">
        <v>58.978920000000002</v>
      </c>
      <c r="I37">
        <v>7.349953513478006E-3</v>
      </c>
    </row>
    <row r="38" spans="1:9" x14ac:dyDescent="0.3">
      <c r="A38" s="28">
        <v>45666</v>
      </c>
      <c r="B38" t="s">
        <v>11</v>
      </c>
      <c r="C38" t="s">
        <v>14</v>
      </c>
      <c r="D38">
        <v>0.62060000000000004</v>
      </c>
      <c r="E38">
        <v>92.9</v>
      </c>
      <c r="F38">
        <v>57.653740000000006</v>
      </c>
      <c r="G38">
        <v>92.89</v>
      </c>
      <c r="H38">
        <v>57.647534000000007</v>
      </c>
      <c r="I38">
        <v>7.184036178801559E-3</v>
      </c>
    </row>
    <row r="39" spans="1:9" x14ac:dyDescent="0.3">
      <c r="A39" s="28">
        <v>45608</v>
      </c>
      <c r="B39" t="s">
        <v>16</v>
      </c>
      <c r="C39" t="s">
        <v>15</v>
      </c>
      <c r="D39">
        <v>71.395099999999999</v>
      </c>
      <c r="E39">
        <v>16.989999999999998</v>
      </c>
      <c r="F39">
        <v>1213.0027489999998</v>
      </c>
      <c r="G39">
        <v>17.940000000000001</v>
      </c>
      <c r="H39">
        <v>1280.8280940000002</v>
      </c>
      <c r="I39">
        <v>0.15961680799947911</v>
      </c>
    </row>
    <row r="40" spans="1:9" x14ac:dyDescent="0.3">
      <c r="A40" s="28">
        <v>45631</v>
      </c>
      <c r="B40" t="s">
        <v>16</v>
      </c>
      <c r="C40" t="s">
        <v>15</v>
      </c>
      <c r="D40">
        <v>7.2718999999999996</v>
      </c>
      <c r="E40">
        <v>16.95</v>
      </c>
      <c r="F40">
        <v>123.25870499999999</v>
      </c>
      <c r="G40">
        <v>17.940000000000001</v>
      </c>
      <c r="H40">
        <v>130.457886</v>
      </c>
      <c r="I40">
        <v>1.625766286609882E-2</v>
      </c>
    </row>
    <row r="41" spans="1:9" x14ac:dyDescent="0.3">
      <c r="A41" s="28">
        <v>45632</v>
      </c>
      <c r="B41" t="s">
        <v>16</v>
      </c>
      <c r="C41" t="s">
        <v>15</v>
      </c>
      <c r="D41">
        <v>14.6607</v>
      </c>
      <c r="E41">
        <v>16.78</v>
      </c>
      <c r="F41">
        <v>246.00654600000001</v>
      </c>
      <c r="G41">
        <v>17.940000000000001</v>
      </c>
      <c r="H41">
        <v>263.01295800000003</v>
      </c>
      <c r="I41">
        <v>3.2776677069406207E-2</v>
      </c>
    </row>
    <row r="42" spans="1:9" x14ac:dyDescent="0.3">
      <c r="A42" s="28">
        <v>45635</v>
      </c>
      <c r="B42" t="s">
        <v>16</v>
      </c>
      <c r="C42" t="s">
        <v>15</v>
      </c>
      <c r="D42">
        <v>17</v>
      </c>
      <c r="E42">
        <v>17.09</v>
      </c>
      <c r="F42">
        <v>290.52999999999997</v>
      </c>
      <c r="G42">
        <v>17.940000000000001</v>
      </c>
      <c r="H42">
        <v>304.98</v>
      </c>
      <c r="I42">
        <v>3.8006610201416408E-2</v>
      </c>
    </row>
    <row r="43" spans="1:9" x14ac:dyDescent="0.3">
      <c r="A43" s="28">
        <v>45635</v>
      </c>
      <c r="B43" t="s">
        <v>16</v>
      </c>
      <c r="C43" t="s">
        <v>15</v>
      </c>
      <c r="D43">
        <v>0.66849999999999998</v>
      </c>
      <c r="E43">
        <v>16.79</v>
      </c>
      <c r="F43">
        <v>11.224114999999999</v>
      </c>
      <c r="G43">
        <v>17.940000000000001</v>
      </c>
      <c r="H43">
        <v>11.992890000000001</v>
      </c>
      <c r="I43">
        <v>1.4945540540968747E-3</v>
      </c>
    </row>
    <row r="44" spans="1:9" x14ac:dyDescent="0.3">
      <c r="A44" s="28">
        <v>45643</v>
      </c>
      <c r="B44" t="s">
        <v>16</v>
      </c>
      <c r="C44" t="s">
        <v>15</v>
      </c>
      <c r="D44">
        <v>34.518999999999998</v>
      </c>
      <c r="E44">
        <v>16.190000000000001</v>
      </c>
      <c r="F44">
        <v>558.86261000000002</v>
      </c>
      <c r="G44">
        <v>17.940000000000001</v>
      </c>
      <c r="H44">
        <v>619.27085999999997</v>
      </c>
      <c r="I44">
        <v>7.7173539855452514E-2</v>
      </c>
    </row>
    <row r="45" spans="1:9" x14ac:dyDescent="0.3">
      <c r="A45" s="28">
        <v>45667</v>
      </c>
      <c r="B45" t="s">
        <v>16</v>
      </c>
      <c r="C45" t="s">
        <v>15</v>
      </c>
      <c r="D45">
        <v>15.749000000000001</v>
      </c>
      <c r="E45">
        <v>15.92</v>
      </c>
      <c r="F45">
        <v>250.72408000000001</v>
      </c>
      <c r="G45">
        <v>17.940000000000001</v>
      </c>
      <c r="H45">
        <v>282.53706000000005</v>
      </c>
      <c r="I45">
        <v>3.5209770827182768E-2</v>
      </c>
    </row>
    <row r="46" spans="1:9" x14ac:dyDescent="0.3">
      <c r="A46" s="28">
        <v>45671</v>
      </c>
      <c r="B46" t="s">
        <v>16</v>
      </c>
      <c r="C46" t="s">
        <v>15</v>
      </c>
      <c r="D46">
        <v>0.53059999999999996</v>
      </c>
      <c r="E46">
        <v>15.4</v>
      </c>
      <c r="F46">
        <v>8.1712399999999992</v>
      </c>
      <c r="G46">
        <v>17.940000000000001</v>
      </c>
      <c r="H46">
        <v>9.5189640000000004</v>
      </c>
      <c r="I46">
        <v>1.1862533748747967E-3</v>
      </c>
    </row>
    <row r="47" spans="1:9" x14ac:dyDescent="0.3">
      <c r="A47" s="28">
        <v>45671</v>
      </c>
      <c r="B47" t="s">
        <v>16</v>
      </c>
      <c r="C47" t="s">
        <v>15</v>
      </c>
      <c r="D47">
        <v>15</v>
      </c>
      <c r="E47">
        <v>15.39</v>
      </c>
      <c r="F47">
        <v>230.85000000000002</v>
      </c>
      <c r="G47">
        <v>17.940000000000001</v>
      </c>
      <c r="H47">
        <v>269.10000000000002</v>
      </c>
      <c r="I47">
        <v>3.3535244295367417E-2</v>
      </c>
    </row>
    <row r="48" spans="1:9" x14ac:dyDescent="0.3">
      <c r="A48" s="28">
        <v>45671</v>
      </c>
      <c r="B48" t="s">
        <v>17</v>
      </c>
      <c r="C48" t="s">
        <v>17</v>
      </c>
      <c r="D48">
        <v>0.35</v>
      </c>
      <c r="E48">
        <v>701.38</v>
      </c>
      <c r="F48">
        <v>245.48299999999998</v>
      </c>
      <c r="G48">
        <v>676.52</v>
      </c>
      <c r="H48">
        <v>236.78199999999998</v>
      </c>
      <c r="I48">
        <v>2.950777485970155E-2</v>
      </c>
    </row>
    <row r="49" spans="1:9" x14ac:dyDescent="0.3">
      <c r="A49" s="28">
        <v>45666</v>
      </c>
      <c r="B49" t="s">
        <v>17</v>
      </c>
      <c r="C49" t="s">
        <v>17</v>
      </c>
      <c r="D49">
        <v>0.55000000000000004</v>
      </c>
      <c r="E49">
        <v>700.87</v>
      </c>
      <c r="F49">
        <v>385.47850000000005</v>
      </c>
      <c r="G49">
        <v>676.52</v>
      </c>
      <c r="H49">
        <v>372.08600000000001</v>
      </c>
      <c r="I49">
        <v>4.6369360493816729E-2</v>
      </c>
    </row>
    <row r="50" spans="1:9" x14ac:dyDescent="0.3">
      <c r="A50" s="28">
        <v>45643</v>
      </c>
      <c r="B50" t="s">
        <v>17</v>
      </c>
      <c r="C50" t="s">
        <v>17</v>
      </c>
      <c r="D50">
        <v>1.2</v>
      </c>
      <c r="E50">
        <v>728.74</v>
      </c>
      <c r="F50">
        <v>874.48799999999994</v>
      </c>
      <c r="G50">
        <v>676.52</v>
      </c>
      <c r="H50">
        <v>811.82399999999996</v>
      </c>
      <c r="I50">
        <v>0.10116951380469102</v>
      </c>
    </row>
    <row r="51" spans="1:9" x14ac:dyDescent="0.3">
      <c r="A51" s="2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0EF25A-1FDB-42FB-82E6-2BB1274631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Portfel</vt:lpstr>
      <vt:lpstr>Historia</vt:lpstr>
      <vt:lpstr>Table 8</vt:lpstr>
      <vt:lpstr>Table15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Nierodzik</dc:creator>
  <cp:lastModifiedBy>Mateusz Nierodzik</cp:lastModifiedBy>
  <dcterms:created xsi:type="dcterms:W3CDTF">2025-01-16T23:11:23Z</dcterms:created>
  <dcterms:modified xsi:type="dcterms:W3CDTF">2025-02-19T13:09:56Z</dcterms:modified>
</cp:coreProperties>
</file>